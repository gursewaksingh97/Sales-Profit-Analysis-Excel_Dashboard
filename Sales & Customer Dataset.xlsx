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E:\Data Analysis\Excel\Alpha It\Sales &amp; Customer\"/>
    </mc:Choice>
  </mc:AlternateContent>
  <xr:revisionPtr revIDLastSave="0" documentId="13_ncr:1_{A47B35B3-1B99-4A3B-8EE7-EAC036756E45}" xr6:coauthVersionLast="47" xr6:coauthVersionMax="47" xr10:uidLastSave="{00000000-0000-0000-0000-000000000000}"/>
  <bookViews>
    <workbookView xWindow="-108" yWindow="-108" windowWidth="23256" windowHeight="12456" xr2:uid="{BCE64C4F-A7B2-411A-A9BF-D7BB2C6F11BB}"/>
  </bookViews>
  <sheets>
    <sheet name="Data" sheetId="1" r:id="rId1"/>
    <sheet name="Pivot Tables" sheetId="2" r:id="rId2"/>
    <sheet name="DASHBOARD" sheetId="3" r:id="rId3"/>
  </sheets>
  <definedNames>
    <definedName name="_xlnm._FilterDatabase" localSheetId="0" hidden="1">Data!$A$1:$M$63</definedName>
    <definedName name="Slicer_Quarters">#N/A</definedName>
    <definedName name="Slicer_Region">#N/A</definedName>
  </definedNames>
  <calcPr calcId="191029" concurrentCalc="0"/>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2" l="1"/>
  <c r="U6" i="3"/>
  <c r="K11" i="2"/>
  <c r="U9" i="3"/>
  <c r="K4" i="2"/>
  <c r="K8" i="3"/>
  <c r="F25" i="2"/>
  <c r="H8" i="3"/>
  <c r="F22" i="2"/>
  <c r="E8" i="3"/>
  <c r="F19" i="2"/>
  <c r="B8" i="3"/>
</calcChain>
</file>

<file path=xl/sharedStrings.xml><?xml version="1.0" encoding="utf-8"?>
<sst xmlns="http://schemas.openxmlformats.org/spreadsheetml/2006/main" count="322" uniqueCount="56">
  <si>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</si>
  <si>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</si>
  <si>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</si>
  <si>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</si>
  <si>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</si>
  <si>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</si>
  <si>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</si>
  <si>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</si>
  <si>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</si>
  <si>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</si>
  <si>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</si>
  <si>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</si>
  <si>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</si>
  <si>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</si>
  <si>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</si>
  <si>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</si>
  <si>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</si>
  <si>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</si>
  <si>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</si>
  <si>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</si>
  <si>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</si>
  <si>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</si>
  <si>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</si>
  <si>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</si>
  <si>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</si>
  <si>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</si>
  <si>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Quarters</t>
  </si>
  <si>
    <t>Second Quarter</t>
  </si>
  <si>
    <t>Third Quarter</t>
  </si>
  <si>
    <t>Fourth Quarter</t>
  </si>
  <si>
    <t>First Quarter</t>
  </si>
  <si>
    <t>Sum of Sales</t>
  </si>
  <si>
    <t>Row Labels</t>
  </si>
  <si>
    <t>Grand Total</t>
  </si>
  <si>
    <t>Jan</t>
  </si>
  <si>
    <t>Feb</t>
  </si>
  <si>
    <t>Mar</t>
  </si>
  <si>
    <t>Apr</t>
  </si>
  <si>
    <t>May</t>
  </si>
  <si>
    <t>Jun</t>
  </si>
  <si>
    <t>Jul</t>
  </si>
  <si>
    <t>Aug</t>
  </si>
  <si>
    <t>Sep</t>
  </si>
  <si>
    <t>Oct</t>
  </si>
  <si>
    <t>Nov</t>
  </si>
  <si>
    <t>Dec</t>
  </si>
  <si>
    <t>Sum of Target Sales</t>
  </si>
  <si>
    <t>Count of Customer Satisfaction</t>
  </si>
  <si>
    <t>Sum of Profit</t>
  </si>
  <si>
    <t>Total Sales</t>
  </si>
  <si>
    <t>Average of Sales Completion Rate</t>
  </si>
  <si>
    <t>Average of Profit Completion Rate</t>
  </si>
  <si>
    <t>Average of Customer Completion Rate</t>
  </si>
  <si>
    <t>No  of Customers</t>
  </si>
  <si>
    <t xml:space="preserve">Total Sales </t>
  </si>
  <si>
    <t xml:space="preserve">Target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</si>
</sst>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b/>
      <sz val="18"/>
      <color rgb="FFFFFF00"/>
      <name val="Aptos Narrow"/>
      <family val="2"/>
      <scheme val="minor"/>
    </font>
    <font>
      <b/>
      <sz val="18"/>
      <color rgb="FF0F6185"/>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5">
    <xf numFmtId="0" fontId="0" fillId="0" borderId="0" xfId="0"/>
    <xf numFmtId="14" fontId="0" fillId="0" borderId="0" xfId="0" applyNumberFormat="1"/>
    <xf numFmtId="14" fontId="1" fillId="0" borderId="0" xfId="0" applyNumberFormat="1" applyFont="1"/>
    <xf numFmtId="0" fontId="1" fillId="0" borderId="0" xfId="0" applyFont="1"/>
    <xf numFmtId="164" fontId="0" fillId="0" borderId="0" xfId="1" applyNumberFormat="1" applyFont="1"/>
    <xf numFmtId="9" fontId="1" fillId="0" borderId="0" xfId="2" applyFont="1"/>
    <xf numFmtId="9" fontId="0" fillId="0" borderId="0" xfId="2"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 fontId="3" fillId="2" borderId="0" xfId="0" applyNumberFormat="1" applyFont="1" applyFill="1"/>
    <xf numFmtId="9" fontId="0" fillId="0" borderId="0" xfId="0" applyNumberFormat="1"/>
    <xf numFmtId="0" fontId="3" fillId="2" borderId="0" xfId="0" applyFont="1" applyFill="1" applyAlignment="1">
      <alignment horizontal="center" vertical="center"/>
    </xf>
    <xf numFmtId="165" fontId="0" fillId="0" borderId="0" xfId="2" applyNumberFormat="1" applyFont="1"/>
    <xf numFmtId="0" fontId="0" fillId="2" borderId="0" xfId="0" applyFill="1" applyAlignment="1">
      <alignment vertical="center"/>
    </xf>
    <xf numFmtId="165" fontId="3" fillId="2" borderId="0" xfId="2" applyNumberFormat="1" applyFont="1" applyFill="1" applyAlignment="1">
      <alignment vertical="center"/>
    </xf>
    <xf numFmtId="165" fontId="4" fillId="2" borderId="0" xfId="2" applyNumberFormat="1" applyFont="1" applyFill="1" applyAlignment="1">
      <alignment vertical="center"/>
    </xf>
    <xf numFmtId="1" fontId="3" fillId="2" borderId="0" xfId="0" applyNumberFormat="1" applyFont="1" applyFill="1" applyAlignment="1">
      <alignment horizontal="center"/>
    </xf>
    <xf numFmtId="165" fontId="3" fillId="2" borderId="0" xfId="0" applyNumberFormat="1" applyFont="1" applyFill="1" applyAlignment="1">
      <alignment horizontal="center" vertical="center"/>
    </xf>
    <xf numFmtId="165" fontId="3" fillId="2" borderId="0" xfId="2" applyNumberFormat="1" applyFont="1" applyFill="1" applyAlignment="1">
      <alignment horizontal="center" vertical="center"/>
    </xf>
    <xf numFmtId="165" fontId="4" fillId="2" borderId="0" xfId="2" applyNumberFormat="1" applyFont="1" applyFill="1" applyAlignment="1">
      <alignment horizontal="center" vertical="center"/>
    </xf>
    <xf numFmtId="1" fontId="4" fillId="2" borderId="0" xfId="0" applyNumberFormat="1" applyFont="1" applyFill="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F6185"/>
      <color rgb="FFEF79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Customer Dataset.xlsx]Pivot Tables!PivotTable2</c:name>
    <c:fmtId val="7"/>
  </c:pivotSource>
  <c:chart>
    <c:title>
      <c:tx>
        <c:rich>
          <a:bodyPr rot="0" spcFirstLastPara="1" vertOverflow="ellipsis" vert="horz" wrap="square" anchor="ctr" anchorCtr="1"/>
          <a:lstStyle/>
          <a:p>
            <a:pPr algn="ctr" rtl="0">
              <a:defRPr lang="en-US" sz="1400" b="1" i="0" u="none" strike="noStrike" kern="1200" baseline="0">
                <a:solidFill>
                  <a:schemeClr val="tx1">
                    <a:lumMod val="95000"/>
                    <a:lumOff val="5000"/>
                  </a:schemeClr>
                </a:solidFill>
                <a:latin typeface="Comic Sans MS" panose="030F0702030302020204" pitchFamily="66" charset="0"/>
                <a:ea typeface="+mn-ea"/>
                <a:cs typeface="+mn-cs"/>
              </a:defRPr>
            </a:pPr>
            <a:r>
              <a:rPr lang="en-US" sz="1400" b="1" i="0" u="none" strike="noStrike" kern="1200" baseline="0">
                <a:solidFill>
                  <a:schemeClr val="tx1">
                    <a:lumMod val="95000"/>
                    <a:lumOff val="5000"/>
                  </a:schemeClr>
                </a:solidFill>
                <a:latin typeface="Comic Sans MS" panose="030F0702030302020204" pitchFamily="66" charset="0"/>
                <a:ea typeface="+mn-ea"/>
                <a:cs typeface="+mn-cs"/>
              </a:rPr>
              <a:t>MONTHLY CUSTOMER COUNT</a:t>
            </a:r>
          </a:p>
        </c:rich>
      </c:tx>
      <c:overlay val="0"/>
      <c:spPr>
        <a:noFill/>
        <a:ln>
          <a:noFill/>
        </a:ln>
        <a:effectLst/>
      </c:spPr>
      <c:txPr>
        <a:bodyPr rot="0" spcFirstLastPara="1" vertOverflow="ellipsis" vert="horz" wrap="square" anchor="ctr" anchorCtr="1"/>
        <a:lstStyle/>
        <a:p>
          <a:pPr algn="ctr" rtl="0">
            <a:defRPr lang="en-US" sz="1400" b="1" i="0" u="none" strike="noStrike" kern="1200" baseline="0">
              <a:solidFill>
                <a:schemeClr val="tx1">
                  <a:lumMod val="95000"/>
                  <a:lumOff val="5000"/>
                </a:schemeClr>
              </a:solidFill>
              <a:latin typeface="Comic Sans MS" panose="030F0702030302020204" pitchFamily="66"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Tables'!$F$3:$F$15</c:f>
              <c:numCache>
                <c:formatCode>General</c:formatCode>
                <c:ptCount val="12"/>
                <c:pt idx="0">
                  <c:v>1325</c:v>
                </c:pt>
                <c:pt idx="1">
                  <c:v>185</c:v>
                </c:pt>
                <c:pt idx="2">
                  <c:v>688</c:v>
                </c:pt>
                <c:pt idx="3">
                  <c:v>810</c:v>
                </c:pt>
                <c:pt idx="4">
                  <c:v>850</c:v>
                </c:pt>
                <c:pt idx="5">
                  <c:v>991</c:v>
                </c:pt>
                <c:pt idx="6">
                  <c:v>300</c:v>
                </c:pt>
                <c:pt idx="7">
                  <c:v>646</c:v>
                </c:pt>
                <c:pt idx="8">
                  <c:v>190</c:v>
                </c:pt>
                <c:pt idx="9">
                  <c:v>1450</c:v>
                </c:pt>
                <c:pt idx="10">
                  <c:v>1497</c:v>
                </c:pt>
                <c:pt idx="11">
                  <c:v>318</c:v>
                </c:pt>
              </c:numCache>
            </c:numRef>
          </c:val>
          <c:extLst>
            <c:ext xmlns:c16="http://schemas.microsoft.com/office/drawing/2014/chart" uri="{C3380CC4-5D6E-409C-BE32-E72D297353CC}">
              <c16:uniqueId val="{00000000-D961-41E9-8D73-2E4181893797}"/>
            </c:ext>
          </c:extLst>
        </c:ser>
        <c:dLbls>
          <c:dLblPos val="outEnd"/>
          <c:showLegendKey val="0"/>
          <c:showVal val="1"/>
          <c:showCatName val="0"/>
          <c:showSerName val="0"/>
          <c:showPercent val="0"/>
          <c:showBubbleSize val="0"/>
        </c:dLbls>
        <c:gapWidth val="100"/>
        <c:overlap val="-24"/>
        <c:axId val="59712367"/>
        <c:axId val="59718127"/>
      </c:barChart>
      <c:catAx>
        <c:axId val="59712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8127"/>
        <c:crosses val="autoZero"/>
        <c:auto val="1"/>
        <c:lblAlgn val="ctr"/>
        <c:lblOffset val="100"/>
        <c:noMultiLvlLbl val="0"/>
      </c:catAx>
      <c:valAx>
        <c:axId val="59718127"/>
        <c:scaling>
          <c:orientation val="minMax"/>
        </c:scaling>
        <c:delete val="1"/>
        <c:axPos val="l"/>
        <c:numFmt formatCode="General" sourceLinked="1"/>
        <c:majorTickMark val="none"/>
        <c:minorTickMark val="none"/>
        <c:tickLblPos val="nextTo"/>
        <c:crossAx val="5971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Customer Dataset.xlsx]Pivot Tables!PivotTable3</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solidFill>
                  <a:schemeClr val="tx1">
                    <a:lumMod val="95000"/>
                    <a:lumOff val="5000"/>
                  </a:schemeClr>
                </a:solidFill>
                <a:latin typeface="Comic Sans MS" panose="030F0702030302020204" pitchFamily="66" charset="0"/>
              </a:rPr>
              <a:t>Countries' WISE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6469038208168644E-2"/>
              <c:y val="3.5897435897435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7.9038415652588762E-2"/>
              <c:y val="-0.145251362810418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1.317523056653493E-2"/>
              <c:y val="1.5384615384615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5876152832674267E-3"/>
              <c:y val="2.0512820512820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Tables'!$I$2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7118-4077-AD67-F47DD97E030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7118-4077-AD67-F47DD97E030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7118-4077-AD67-F47DD97E030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7118-4077-AD67-F47DD97E030E}"/>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7118-4077-AD67-F47DD97E030E}"/>
              </c:ext>
            </c:extLst>
          </c:dPt>
          <c:dLbls>
            <c:dLbl>
              <c:idx val="0"/>
              <c:layout>
                <c:manualLayout>
                  <c:x val="1.6469038208168644E-2"/>
                  <c:y val="3.589743589743589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118-4077-AD67-F47DD97E030E}"/>
                </c:ext>
              </c:extLst>
            </c:dLbl>
            <c:dLbl>
              <c:idx val="1"/>
              <c:layout>
                <c:manualLayout>
                  <c:x val="7.9038415652588762E-2"/>
                  <c:y val="-0.1452513628104180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18-4077-AD67-F47DD97E030E}"/>
                </c:ext>
              </c:extLst>
            </c:dLbl>
            <c:dLbl>
              <c:idx val="3"/>
              <c:layout>
                <c:manualLayout>
                  <c:x val="-1.317523056653493E-2"/>
                  <c:y val="1.538461538461533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118-4077-AD67-F47DD97E030E}"/>
                </c:ext>
              </c:extLst>
            </c:dLbl>
            <c:dLbl>
              <c:idx val="4"/>
              <c:layout>
                <c:manualLayout>
                  <c:x val="-6.5876152832674267E-3"/>
                  <c:y val="2.051282051282048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118-4077-AD67-F47DD97E0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Tables'!$H$3:$H$8</c:f>
              <c:strCache>
                <c:ptCount val="5"/>
                <c:pt idx="0">
                  <c:v>Argentina</c:v>
                </c:pt>
                <c:pt idx="1">
                  <c:v>Brazil</c:v>
                </c:pt>
                <c:pt idx="2">
                  <c:v>Colombia</c:v>
                </c:pt>
                <c:pt idx="3">
                  <c:v>Ecuador</c:v>
                </c:pt>
                <c:pt idx="4">
                  <c:v>Peru</c:v>
                </c:pt>
              </c:strCache>
            </c:strRef>
          </c:cat>
          <c:val>
            <c:numRef>
              <c:f>'Pivot Tables'!$I$3:$I$8</c:f>
              <c:numCache>
                <c:formatCode>_ * #,##0_ ;_ * \-#,##0_ ;_ * "-"??_ ;_ @_ </c:formatCode>
                <c:ptCount val="5"/>
                <c:pt idx="0">
                  <c:v>28144</c:v>
                </c:pt>
                <c:pt idx="1">
                  <c:v>61231</c:v>
                </c:pt>
                <c:pt idx="2">
                  <c:v>23109</c:v>
                </c:pt>
                <c:pt idx="3">
                  <c:v>31446</c:v>
                </c:pt>
                <c:pt idx="4">
                  <c:v>12231</c:v>
                </c:pt>
              </c:numCache>
            </c:numRef>
          </c:val>
          <c:extLst>
            <c:ext xmlns:c16="http://schemas.microsoft.com/office/drawing/2014/chart" uri="{C3380CC4-5D6E-409C-BE32-E72D297353CC}">
              <c16:uniqueId val="{0000000A-7118-4077-AD67-F47DD97E030E}"/>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Customer Dataset.xlsx]Pivot Tables!PivotTable4</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95000"/>
                    <a:lumOff val="5000"/>
                  </a:schemeClr>
                </a:solidFill>
                <a:latin typeface="Comic Sans MS" panose="030F0702030302020204" pitchFamily="66" charset="0"/>
              </a:rPr>
              <a:t>Customer Satisfaction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Tables'!$H$11:$H$16</c:f>
              <c:strCache>
                <c:ptCount val="5"/>
                <c:pt idx="0">
                  <c:v>Speed</c:v>
                </c:pt>
                <c:pt idx="1">
                  <c:v>Quality</c:v>
                </c:pt>
                <c:pt idx="2">
                  <c:v>Hygiene</c:v>
                </c:pt>
                <c:pt idx="3">
                  <c:v>Service</c:v>
                </c:pt>
                <c:pt idx="4">
                  <c:v>Availability</c:v>
                </c:pt>
              </c:strCache>
            </c:strRef>
          </c:cat>
          <c:val>
            <c:numRef>
              <c:f>'Pivot Tables'!$I$11:$I$16</c:f>
              <c:numCache>
                <c:formatCode>General</c:formatCode>
                <c:ptCount val="5"/>
                <c:pt idx="0">
                  <c:v>18</c:v>
                </c:pt>
                <c:pt idx="1">
                  <c:v>12</c:v>
                </c:pt>
                <c:pt idx="2">
                  <c:v>11</c:v>
                </c:pt>
                <c:pt idx="3">
                  <c:v>11</c:v>
                </c:pt>
                <c:pt idx="4">
                  <c:v>10</c:v>
                </c:pt>
              </c:numCache>
            </c:numRef>
          </c:val>
          <c:extLst>
            <c:ext xmlns:c16="http://schemas.microsoft.com/office/drawing/2014/chart" uri="{C3380CC4-5D6E-409C-BE32-E72D297353CC}">
              <c16:uniqueId val="{00000000-2C24-4C1D-B664-ED30549063C0}"/>
            </c:ext>
          </c:extLst>
        </c:ser>
        <c:dLbls>
          <c:dLblPos val="outEnd"/>
          <c:showLegendKey val="0"/>
          <c:showVal val="1"/>
          <c:showCatName val="0"/>
          <c:showSerName val="0"/>
          <c:showPercent val="0"/>
          <c:showBubbleSize val="0"/>
        </c:dLbls>
        <c:gapWidth val="115"/>
        <c:overlap val="-20"/>
        <c:axId val="177190303"/>
        <c:axId val="177191263"/>
      </c:barChart>
      <c:catAx>
        <c:axId val="1771903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91263"/>
        <c:crosses val="autoZero"/>
        <c:auto val="1"/>
        <c:lblAlgn val="ctr"/>
        <c:lblOffset val="100"/>
        <c:noMultiLvlLbl val="0"/>
      </c:catAx>
      <c:valAx>
        <c:axId val="177191263"/>
        <c:scaling>
          <c:orientation val="minMax"/>
        </c:scaling>
        <c:delete val="1"/>
        <c:axPos val="b"/>
        <c:numFmt formatCode="General" sourceLinked="1"/>
        <c:majorTickMark val="none"/>
        <c:minorTickMark val="none"/>
        <c:tickLblPos val="nextTo"/>
        <c:crossAx val="17719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Customer Dataset.xlsx]Pivot Tables!PivotTable5</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chemeClr val="tx1">
                    <a:lumMod val="95000"/>
                    <a:lumOff val="5000"/>
                  </a:schemeClr>
                </a:solidFill>
                <a:latin typeface="Comic Sans MS" panose="030F0702030302020204" pitchFamily="66" charset="0"/>
              </a:rPr>
              <a:t>REGION WISE SALES VS PROFIT</a:t>
            </a:r>
          </a:p>
        </c:rich>
      </c:tx>
      <c:layout>
        <c:manualLayout>
          <c:xMode val="edge"/>
          <c:yMode val="edge"/>
          <c:x val="0.17810570708364426"/>
          <c:y val="3.067484662576687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867413632119518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167133520074692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c:f>
              <c:strCache>
                <c:ptCount val="1"/>
                <c:pt idx="0">
                  <c:v>Sum of Sales</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AA0C-429F-B404-86256DA64599}"/>
              </c:ext>
            </c:extLst>
          </c:dPt>
          <c:dLbls>
            <c:dLbl>
              <c:idx val="1"/>
              <c:layout>
                <c:manualLayout>
                  <c:x val="-1.867413632119518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0C-429F-B404-86256DA645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Tables'!$A$19:$A$23</c:f>
              <c:strCache>
                <c:ptCount val="4"/>
                <c:pt idx="0">
                  <c:v>South</c:v>
                </c:pt>
                <c:pt idx="1">
                  <c:v>East</c:v>
                </c:pt>
                <c:pt idx="2">
                  <c:v>West</c:v>
                </c:pt>
                <c:pt idx="3">
                  <c:v>North</c:v>
                </c:pt>
              </c:strCache>
            </c:strRef>
          </c:cat>
          <c:val>
            <c:numRef>
              <c:f>'Pivot Tables'!$B$19:$B$23</c:f>
              <c:numCache>
                <c:formatCode>_ * #,##0_ ;_ * \-#,##0_ ;_ * "-"??_ ;_ @_ </c:formatCode>
                <c:ptCount val="4"/>
                <c:pt idx="0">
                  <c:v>50241</c:v>
                </c:pt>
                <c:pt idx="1">
                  <c:v>45770</c:v>
                </c:pt>
                <c:pt idx="2">
                  <c:v>31731</c:v>
                </c:pt>
                <c:pt idx="3">
                  <c:v>28419</c:v>
                </c:pt>
              </c:numCache>
            </c:numRef>
          </c:val>
          <c:extLst>
            <c:ext xmlns:c16="http://schemas.microsoft.com/office/drawing/2014/chart" uri="{C3380CC4-5D6E-409C-BE32-E72D297353CC}">
              <c16:uniqueId val="{00000000-99B4-4D19-9F54-EAEB4B1BC863}"/>
            </c:ext>
          </c:extLst>
        </c:ser>
        <c:ser>
          <c:idx val="1"/>
          <c:order val="1"/>
          <c:tx>
            <c:strRef>
              <c:f>'Pivot Tables'!$C$18</c:f>
              <c:strCache>
                <c:ptCount val="1"/>
                <c:pt idx="0">
                  <c:v>Sum of Profit</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AA0C-429F-B404-86256DA64599}"/>
              </c:ext>
            </c:extLst>
          </c:dPt>
          <c:dLbls>
            <c:dLbl>
              <c:idx val="1"/>
              <c:layout>
                <c:manualLayout>
                  <c:x val="1.167133520074692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0C-429F-B404-86256DA645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Tables'!$A$19:$A$23</c:f>
              <c:strCache>
                <c:ptCount val="4"/>
                <c:pt idx="0">
                  <c:v>South</c:v>
                </c:pt>
                <c:pt idx="1">
                  <c:v>East</c:v>
                </c:pt>
                <c:pt idx="2">
                  <c:v>West</c:v>
                </c:pt>
                <c:pt idx="3">
                  <c:v>North</c:v>
                </c:pt>
              </c:strCache>
            </c:strRef>
          </c:cat>
          <c:val>
            <c:numRef>
              <c:f>'Pivot Tables'!$C$19:$C$23</c:f>
              <c:numCache>
                <c:formatCode>_ * #,##0_ ;_ * \-#,##0_ ;_ * "-"??_ ;_ @_ </c:formatCode>
                <c:ptCount val="4"/>
                <c:pt idx="0">
                  <c:v>29742.857142857156</c:v>
                </c:pt>
                <c:pt idx="1">
                  <c:v>45042.85714285713</c:v>
                </c:pt>
                <c:pt idx="2">
                  <c:v>22343.714285714286</c:v>
                </c:pt>
                <c:pt idx="3">
                  <c:v>13214.285714285726</c:v>
                </c:pt>
              </c:numCache>
            </c:numRef>
          </c:val>
          <c:extLst>
            <c:ext xmlns:c16="http://schemas.microsoft.com/office/drawing/2014/chart" uri="{C3380CC4-5D6E-409C-BE32-E72D297353CC}">
              <c16:uniqueId val="{00000001-99B4-4D19-9F54-EAEB4B1BC863}"/>
            </c:ext>
          </c:extLst>
        </c:ser>
        <c:dLbls>
          <c:dLblPos val="outEnd"/>
          <c:showLegendKey val="0"/>
          <c:showVal val="1"/>
          <c:showCatName val="0"/>
          <c:showSerName val="0"/>
          <c:showPercent val="0"/>
          <c:showBubbleSize val="0"/>
        </c:dLbls>
        <c:gapWidth val="219"/>
        <c:overlap val="-27"/>
        <c:axId val="177655407"/>
        <c:axId val="177656367"/>
      </c:barChart>
      <c:catAx>
        <c:axId val="17765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56367"/>
        <c:crosses val="autoZero"/>
        <c:auto val="1"/>
        <c:lblAlgn val="ctr"/>
        <c:lblOffset val="100"/>
        <c:noMultiLvlLbl val="0"/>
      </c:catAx>
      <c:valAx>
        <c:axId val="177656367"/>
        <c:scaling>
          <c:orientation val="minMax"/>
        </c:scaling>
        <c:delete val="1"/>
        <c:axPos val="l"/>
        <c:numFmt formatCode="_ * #,##0_ ;_ * \-#,##0_ ;_ * &quot;-&quot;??_ ;_ @_ " sourceLinked="1"/>
        <c:majorTickMark val="none"/>
        <c:minorTickMark val="none"/>
        <c:tickLblPos val="nextTo"/>
        <c:crossAx val="177655407"/>
        <c:crosses val="autoZero"/>
        <c:crossBetween val="between"/>
      </c:valAx>
      <c:spPr>
        <a:noFill/>
        <a:ln>
          <a:noFill/>
        </a:ln>
        <a:effectLst/>
      </c:spPr>
    </c:plotArea>
    <c:legend>
      <c:legendPos val="r"/>
      <c:layout>
        <c:manualLayout>
          <c:xMode val="edge"/>
          <c:yMode val="edge"/>
          <c:x val="0.6527431663491986"/>
          <c:y val="0.23098078997793989"/>
          <c:w val="0.15978893431849525"/>
          <c:h val="0.17254721994106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Customer Dataset.xlsx]Pivot Tables!PivotTable1</c:name>
    <c:fmtId val="7"/>
  </c:pivotSource>
  <c:chart>
    <c:title>
      <c:tx>
        <c:rich>
          <a:bodyPr rot="0" spcFirstLastPara="1" vertOverflow="ellipsis" vert="horz" wrap="square" anchor="ctr" anchorCtr="1"/>
          <a:lstStyle/>
          <a:p>
            <a:pPr>
              <a:defRPr sz="1400" b="1" i="0" u="none" strike="noStrike" kern="1200" baseline="0">
                <a:solidFill>
                  <a:schemeClr val="tx1">
                    <a:lumMod val="95000"/>
                    <a:lumOff val="5000"/>
                  </a:schemeClr>
                </a:solidFill>
                <a:latin typeface="Comic Sans MS" panose="030F0702030302020204" pitchFamily="66" charset="0"/>
                <a:ea typeface="+mn-ea"/>
                <a:cs typeface="+mn-cs"/>
              </a:defRPr>
            </a:pPr>
            <a:r>
              <a:rPr lang="en-IN" sz="1400">
                <a:solidFill>
                  <a:schemeClr val="tx1">
                    <a:lumMod val="95000"/>
                    <a:lumOff val="5000"/>
                  </a:schemeClr>
                </a:solidFill>
                <a:latin typeface="Comic Sans MS" panose="030F0702030302020204" pitchFamily="66" charset="0"/>
              </a:rPr>
              <a:t>TARGET</a:t>
            </a:r>
            <a:r>
              <a:rPr lang="en-IN" sz="1400" baseline="0">
                <a:solidFill>
                  <a:schemeClr val="tx1">
                    <a:lumMod val="95000"/>
                    <a:lumOff val="5000"/>
                  </a:schemeClr>
                </a:solidFill>
                <a:latin typeface="Comic Sans MS" panose="030F0702030302020204" pitchFamily="66" charset="0"/>
              </a:rPr>
              <a:t> VS SALES</a:t>
            </a:r>
            <a:endParaRPr lang="en-IN" sz="1400">
              <a:solidFill>
                <a:schemeClr val="tx1">
                  <a:lumMod val="95000"/>
                  <a:lumOff val="5000"/>
                </a:schemeClr>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Comic Sans MS" panose="030F0702030302020204" pitchFamily="66" charset="0"/>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3092789358069"/>
          <c:y val="0.21732673267326733"/>
          <c:w val="0.8103266209860206"/>
          <c:h val="0.65551007856691179"/>
        </c:manualLayout>
      </c:layout>
      <c:barChart>
        <c:barDir val="col"/>
        <c:grouping val="clustered"/>
        <c:varyColors val="0"/>
        <c:ser>
          <c:idx val="0"/>
          <c:order val="0"/>
          <c:tx>
            <c:strRef>
              <c:f>'Pivot Tables'!$B$2</c:f>
              <c:strCache>
                <c:ptCount val="1"/>
                <c:pt idx="0">
                  <c:v>Total Sales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Tables'!$B$3:$B$15</c:f>
              <c:numCache>
                <c:formatCode>_ * #,##0_ ;_ * \-#,##0_ ;_ * "-"??_ ;_ @_ </c:formatCode>
                <c:ptCount val="12"/>
                <c:pt idx="0">
                  <c:v>13944</c:v>
                </c:pt>
                <c:pt idx="1">
                  <c:v>5814</c:v>
                </c:pt>
                <c:pt idx="2">
                  <c:v>14750</c:v>
                </c:pt>
                <c:pt idx="3">
                  <c:v>12493</c:v>
                </c:pt>
                <c:pt idx="4">
                  <c:v>11000</c:v>
                </c:pt>
                <c:pt idx="5">
                  <c:v>15990</c:v>
                </c:pt>
                <c:pt idx="6">
                  <c:v>6500</c:v>
                </c:pt>
                <c:pt idx="7">
                  <c:v>12000</c:v>
                </c:pt>
                <c:pt idx="8">
                  <c:v>4600</c:v>
                </c:pt>
                <c:pt idx="9">
                  <c:v>27731</c:v>
                </c:pt>
                <c:pt idx="10">
                  <c:v>26630</c:v>
                </c:pt>
                <c:pt idx="11">
                  <c:v>4709</c:v>
                </c:pt>
              </c:numCache>
            </c:numRef>
          </c:val>
          <c:extLst>
            <c:ext xmlns:c16="http://schemas.microsoft.com/office/drawing/2014/chart" uri="{C3380CC4-5D6E-409C-BE32-E72D297353CC}">
              <c16:uniqueId val="{00000000-1838-4FED-8C05-85B1975D8A2E}"/>
            </c:ext>
          </c:extLst>
        </c:ser>
        <c:ser>
          <c:idx val="1"/>
          <c:order val="1"/>
          <c:tx>
            <c:strRef>
              <c:f>'Pivot Tables'!$C$2</c:f>
              <c:strCache>
                <c:ptCount val="1"/>
                <c:pt idx="0">
                  <c:v>Target Sales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Tables'!$C$3:$C$15</c:f>
              <c:numCache>
                <c:formatCode>_ * #,##0_ ;_ * \-#,##0_ ;_ * "-"??_ ;_ @_ </c:formatCode>
                <c:ptCount val="12"/>
                <c:pt idx="0">
                  <c:v>3142.8571428571427</c:v>
                </c:pt>
                <c:pt idx="1">
                  <c:v>24285.28571428571</c:v>
                </c:pt>
                <c:pt idx="2">
                  <c:v>9714.2857142857174</c:v>
                </c:pt>
                <c:pt idx="3">
                  <c:v>13571.428571428569</c:v>
                </c:pt>
                <c:pt idx="4">
                  <c:v>12571.285714285716</c:v>
                </c:pt>
                <c:pt idx="5">
                  <c:v>12999.999999999996</c:v>
                </c:pt>
                <c:pt idx="6">
                  <c:v>20142.85714285713</c:v>
                </c:pt>
                <c:pt idx="7">
                  <c:v>3428.5714285714312</c:v>
                </c:pt>
                <c:pt idx="8">
                  <c:v>9571.428571428567</c:v>
                </c:pt>
                <c:pt idx="9">
                  <c:v>30142.428571428572</c:v>
                </c:pt>
                <c:pt idx="10">
                  <c:v>20857.142857142862</c:v>
                </c:pt>
                <c:pt idx="11">
                  <c:v>3714.2857142857147</c:v>
                </c:pt>
              </c:numCache>
            </c:numRef>
          </c:val>
          <c:extLst>
            <c:ext xmlns:c16="http://schemas.microsoft.com/office/drawing/2014/chart" uri="{C3380CC4-5D6E-409C-BE32-E72D297353CC}">
              <c16:uniqueId val="{00000001-1838-4FED-8C05-85B1975D8A2E}"/>
            </c:ext>
          </c:extLst>
        </c:ser>
        <c:dLbls>
          <c:showLegendKey val="0"/>
          <c:showVal val="0"/>
          <c:showCatName val="0"/>
          <c:showSerName val="0"/>
          <c:showPercent val="0"/>
          <c:showBubbleSize val="0"/>
        </c:dLbls>
        <c:gapWidth val="100"/>
        <c:overlap val="-24"/>
        <c:axId val="59731567"/>
        <c:axId val="59715247"/>
      </c:barChart>
      <c:catAx>
        <c:axId val="59731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5247"/>
        <c:crosses val="autoZero"/>
        <c:auto val="1"/>
        <c:lblAlgn val="ctr"/>
        <c:lblOffset val="100"/>
        <c:noMultiLvlLbl val="0"/>
      </c:catAx>
      <c:valAx>
        <c:axId val="59715247"/>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1567"/>
        <c:crosses val="autoZero"/>
        <c:crossBetween val="between"/>
      </c:valAx>
      <c:spPr>
        <a:noFill/>
        <a:ln>
          <a:noFill/>
        </a:ln>
        <a:effectLst/>
      </c:spPr>
    </c:plotArea>
    <c:legend>
      <c:legendPos val="r"/>
      <c:layout>
        <c:manualLayout>
          <c:xMode val="edge"/>
          <c:yMode val="edge"/>
          <c:x val="0.73340391456002219"/>
          <c:y val="3.4542588117079422E-2"/>
          <c:w val="0.23870495805328826"/>
          <c:h val="0.18564486369896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228600</xdr:colOff>
      <xdr:row>5</xdr:row>
      <xdr:rowOff>104147</xdr:rowOff>
    </xdr:from>
    <xdr:to>
      <xdr:col>3</xdr:col>
      <xdr:colOff>320040</xdr:colOff>
      <xdr:row>8</xdr:row>
      <xdr:rowOff>180733</xdr:rowOff>
    </xdr:to>
    <xdr:sp macro="" textlink="">
      <xdr:nvSpPr>
        <xdr:cNvPr id="14" name="TextBox 13">
          <a:extLst>
            <a:ext uri="{FF2B5EF4-FFF2-40B4-BE49-F238E27FC236}">
              <a16:creationId xmlns:a16="http://schemas.microsoft.com/office/drawing/2014/main" id="{9002C2A9-2038-6DE8-42B5-F3F61E7016C1}"/>
            </a:ext>
          </a:extLst>
        </xdr:cNvPr>
        <xdr:cNvSpPr txBox="1"/>
      </xdr:nvSpPr>
      <xdr:spPr>
        <a:xfrm>
          <a:off x="228600" y="1132847"/>
          <a:ext cx="2080260" cy="625226"/>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ysClr val="windowText" lastClr="000000"/>
              </a:solidFill>
              <a:latin typeface="Comic Sans MS" panose="030F0702030302020204" pitchFamily="66" charset="0"/>
            </a:rPr>
            <a:t>TOTAL</a:t>
          </a:r>
          <a:r>
            <a:rPr lang="en-IN" sz="1400" b="1" baseline="0">
              <a:solidFill>
                <a:sysClr val="windowText" lastClr="000000"/>
              </a:solidFill>
              <a:latin typeface="Comic Sans MS" panose="030F0702030302020204" pitchFamily="66" charset="0"/>
            </a:rPr>
            <a:t> SALES</a:t>
          </a:r>
          <a:endParaRPr lang="en-IN" sz="1400" b="1">
            <a:solidFill>
              <a:sysClr val="windowText" lastClr="000000"/>
            </a:solidFill>
            <a:latin typeface="Comic Sans MS" panose="030F0702030302020204" pitchFamily="66" charset="0"/>
          </a:endParaRPr>
        </a:p>
      </xdr:txBody>
    </xdr:sp>
    <xdr:clientData/>
  </xdr:twoCellAnchor>
  <xdr:twoCellAnchor>
    <xdr:from>
      <xdr:col>14</xdr:col>
      <xdr:colOff>137160</xdr:colOff>
      <xdr:row>11</xdr:row>
      <xdr:rowOff>86810</xdr:rowOff>
    </xdr:from>
    <xdr:to>
      <xdr:col>21</xdr:col>
      <xdr:colOff>464820</xdr:colOff>
      <xdr:row>24</xdr:row>
      <xdr:rowOff>7737</xdr:rowOff>
    </xdr:to>
    <xdr:graphicFrame macro="">
      <xdr:nvGraphicFramePr>
        <xdr:cNvPr id="3" name="Chart 2">
          <a:extLst>
            <a:ext uri="{FF2B5EF4-FFF2-40B4-BE49-F238E27FC236}">
              <a16:creationId xmlns:a16="http://schemas.microsoft.com/office/drawing/2014/main" id="{AB54DD57-9F8C-407F-8360-1E900802D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25</xdr:row>
      <xdr:rowOff>68580</xdr:rowOff>
    </xdr:from>
    <xdr:to>
      <xdr:col>5</xdr:col>
      <xdr:colOff>617220</xdr:colOff>
      <xdr:row>38</xdr:row>
      <xdr:rowOff>167640</xdr:rowOff>
    </xdr:to>
    <xdr:graphicFrame macro="">
      <xdr:nvGraphicFramePr>
        <xdr:cNvPr id="5" name="Chart 4">
          <a:extLst>
            <a:ext uri="{FF2B5EF4-FFF2-40B4-BE49-F238E27FC236}">
              <a16:creationId xmlns:a16="http://schemas.microsoft.com/office/drawing/2014/main" id="{3DDDBCD9-E6D3-4194-99F7-C32DB3D59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xdr:colOff>
      <xdr:row>25</xdr:row>
      <xdr:rowOff>76200</xdr:rowOff>
    </xdr:from>
    <xdr:to>
      <xdr:col>21</xdr:col>
      <xdr:colOff>571500</xdr:colOff>
      <xdr:row>38</xdr:row>
      <xdr:rowOff>129540</xdr:rowOff>
    </xdr:to>
    <xdr:graphicFrame macro="">
      <xdr:nvGraphicFramePr>
        <xdr:cNvPr id="6" name="Chart 5">
          <a:extLst>
            <a:ext uri="{FF2B5EF4-FFF2-40B4-BE49-F238E27FC236}">
              <a16:creationId xmlns:a16="http://schemas.microsoft.com/office/drawing/2014/main" id="{928605B4-10F3-43AF-AC10-3082EADFF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441960</xdr:colOff>
      <xdr:row>25</xdr:row>
      <xdr:rowOff>68580</xdr:rowOff>
    </xdr:from>
    <xdr:to>
      <xdr:col>15</xdr:col>
      <xdr:colOff>22860</xdr:colOff>
      <xdr:row>38</xdr:row>
      <xdr:rowOff>60960</xdr:rowOff>
    </xdr:to>
    <xdr:graphicFrame macro="">
      <xdr:nvGraphicFramePr>
        <xdr:cNvPr id="7" name="Chart 6">
          <a:extLst>
            <a:ext uri="{FF2B5EF4-FFF2-40B4-BE49-F238E27FC236}">
              <a16:creationId xmlns:a16="http://schemas.microsoft.com/office/drawing/2014/main" id="{155A0B7E-F596-4A0D-A46F-3CCEED47A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137160</xdr:colOff>
      <xdr:row>4</xdr:row>
      <xdr:rowOff>146329</xdr:rowOff>
    </xdr:from>
    <xdr:to>
      <xdr:col>22</xdr:col>
      <xdr:colOff>0</xdr:colOff>
      <xdr:row>10</xdr:row>
      <xdr:rowOff>77749</xdr:rowOff>
    </xdr:to>
    <xdr:sp macro="" textlink="">
      <xdr:nvSpPr>
        <xdr:cNvPr id="10" name="Rectangle: Rounded Corners 9">
          <a:extLst>
            <a:ext uri="{FF2B5EF4-FFF2-40B4-BE49-F238E27FC236}">
              <a16:creationId xmlns:a16="http://schemas.microsoft.com/office/drawing/2014/main" id="{277B6044-DB65-A355-9664-5DB59254C2CA}"/>
            </a:ext>
          </a:extLst>
        </xdr:cNvPr>
        <xdr:cNvSpPr/>
      </xdr:nvSpPr>
      <xdr:spPr>
        <a:xfrm>
          <a:off x="137160" y="879392"/>
          <a:ext cx="14003245" cy="1378256"/>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0</xdr:col>
      <xdr:colOff>91440</xdr:colOff>
      <xdr:row>11</xdr:row>
      <xdr:rowOff>22860</xdr:rowOff>
    </xdr:from>
    <xdr:to>
      <xdr:col>6</xdr:col>
      <xdr:colOff>137160</xdr:colOff>
      <xdr:row>24</xdr:row>
      <xdr:rowOff>38100</xdr:rowOff>
    </xdr:to>
    <xdr:sp macro="" textlink="">
      <xdr:nvSpPr>
        <xdr:cNvPr id="11" name="Rectangle: Rounded Corners 10">
          <a:extLst>
            <a:ext uri="{FF2B5EF4-FFF2-40B4-BE49-F238E27FC236}">
              <a16:creationId xmlns:a16="http://schemas.microsoft.com/office/drawing/2014/main" id="{303E39D0-AFA6-4FB5-98B1-DAE8C90C7581}"/>
            </a:ext>
          </a:extLst>
        </xdr:cNvPr>
        <xdr:cNvSpPr/>
      </xdr:nvSpPr>
      <xdr:spPr>
        <a:xfrm>
          <a:off x="91440" y="2154531"/>
          <a:ext cx="4019695" cy="2397696"/>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editAs="oneCell">
    <xdr:from>
      <xdr:col>3</xdr:col>
      <xdr:colOff>99060</xdr:colOff>
      <xdr:row>14</xdr:row>
      <xdr:rowOff>137159</xdr:rowOff>
    </xdr:from>
    <xdr:to>
      <xdr:col>6</xdr:col>
      <xdr:colOff>7620</xdr:colOff>
      <xdr:row>23</xdr:row>
      <xdr:rowOff>15241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85C6A04E-4E92-45BD-A9D5-C7A738028C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87880" y="2811779"/>
              <a:ext cx="1897380" cy="1524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14</xdr:row>
      <xdr:rowOff>144781</xdr:rowOff>
    </xdr:from>
    <xdr:to>
      <xdr:col>3</xdr:col>
      <xdr:colOff>38100</xdr:colOff>
      <xdr:row>23</xdr:row>
      <xdr:rowOff>15242</xdr:rowOff>
    </xdr:to>
    <mc:AlternateContent xmlns:mc="http://schemas.openxmlformats.org/markup-compatibility/2006">
      <mc:Choice xmlns:a14="http://schemas.microsoft.com/office/drawing/2010/main" Requires="a14">
        <xdr:graphicFrame macro="">
          <xdr:nvGraphicFramePr>
            <xdr:cNvPr id="13" name="Quarters">
              <a:extLst>
                <a:ext uri="{FF2B5EF4-FFF2-40B4-BE49-F238E27FC236}">
                  <a16:creationId xmlns:a16="http://schemas.microsoft.com/office/drawing/2014/main" id="{3AA049E3-2184-4030-B690-D785025E21AF}"/>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198120" y="2819401"/>
              <a:ext cx="1828800" cy="1516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454740</xdr:colOff>
      <xdr:row>5</xdr:row>
      <xdr:rowOff>102864</xdr:rowOff>
    </xdr:from>
    <xdr:to>
      <xdr:col>9</xdr:col>
      <xdr:colOff>439273</xdr:colOff>
      <xdr:row>8</xdr:row>
      <xdr:rowOff>162144</xdr:rowOff>
    </xdr:to>
    <xdr:sp macro="" textlink="">
      <xdr:nvSpPr>
        <xdr:cNvPr id="15" name="TextBox 14">
          <a:extLst>
            <a:ext uri="{FF2B5EF4-FFF2-40B4-BE49-F238E27FC236}">
              <a16:creationId xmlns:a16="http://schemas.microsoft.com/office/drawing/2014/main" id="{60DDD977-B82D-4357-8CE4-1286430A5741}"/>
            </a:ext>
          </a:extLst>
        </xdr:cNvPr>
        <xdr:cNvSpPr txBox="1"/>
      </xdr:nvSpPr>
      <xdr:spPr>
        <a:xfrm>
          <a:off x="4432380" y="1131564"/>
          <a:ext cx="1973353" cy="607920"/>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Comic Sans MS" panose="030F0702030302020204" pitchFamily="66" charset="0"/>
            </a:rPr>
            <a:t>TOTAL</a:t>
          </a:r>
          <a:r>
            <a:rPr lang="en-IN" sz="1400" b="1" baseline="0">
              <a:latin typeface="Comic Sans MS" panose="030F0702030302020204" pitchFamily="66" charset="0"/>
            </a:rPr>
            <a:t> TARGET</a:t>
          </a:r>
        </a:p>
      </xdr:txBody>
    </xdr:sp>
    <xdr:clientData/>
  </xdr:twoCellAnchor>
  <xdr:twoCellAnchor>
    <xdr:from>
      <xdr:col>9</xdr:col>
      <xdr:colOff>565922</xdr:colOff>
      <xdr:row>5</xdr:row>
      <xdr:rowOff>89319</xdr:rowOff>
    </xdr:from>
    <xdr:to>
      <xdr:col>14</xdr:col>
      <xdr:colOff>70622</xdr:colOff>
      <xdr:row>8</xdr:row>
      <xdr:rowOff>167311</xdr:rowOff>
    </xdr:to>
    <xdr:sp macro="" textlink="">
      <xdr:nvSpPr>
        <xdr:cNvPr id="16" name="TextBox 15">
          <a:extLst>
            <a:ext uri="{FF2B5EF4-FFF2-40B4-BE49-F238E27FC236}">
              <a16:creationId xmlns:a16="http://schemas.microsoft.com/office/drawing/2014/main" id="{F6B48CBE-EF56-41CF-962D-312C05606379}"/>
            </a:ext>
          </a:extLst>
        </xdr:cNvPr>
        <xdr:cNvSpPr txBox="1"/>
      </xdr:nvSpPr>
      <xdr:spPr>
        <a:xfrm>
          <a:off x="6532382" y="1118019"/>
          <a:ext cx="2766060" cy="626632"/>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atin typeface="Comic Sans MS" panose="030F0702030302020204" pitchFamily="66" charset="0"/>
            </a:rPr>
            <a:t>AVG. SALES </a:t>
          </a:r>
          <a:r>
            <a:rPr lang="en-US" sz="1400" b="1" baseline="0">
              <a:latin typeface="Comic Sans MS" panose="030F0702030302020204" pitchFamily="66" charset="0"/>
            </a:rPr>
            <a:t>COMPLETION </a:t>
          </a:r>
          <a:endParaRPr lang="en-IN" sz="1400" b="1">
            <a:latin typeface="Comic Sans MS" panose="030F0702030302020204" pitchFamily="66" charset="0"/>
          </a:endParaRPr>
        </a:p>
      </xdr:txBody>
    </xdr:sp>
    <xdr:clientData/>
  </xdr:twoCellAnchor>
  <xdr:twoCellAnchor>
    <xdr:from>
      <xdr:col>14</xdr:col>
      <xdr:colOff>266703</xdr:colOff>
      <xdr:row>5</xdr:row>
      <xdr:rowOff>26175</xdr:rowOff>
    </xdr:from>
    <xdr:to>
      <xdr:col>18</xdr:col>
      <xdr:colOff>556263</xdr:colOff>
      <xdr:row>7</xdr:row>
      <xdr:rowOff>3315</xdr:rowOff>
    </xdr:to>
    <xdr:sp macro="" textlink="">
      <xdr:nvSpPr>
        <xdr:cNvPr id="21" name="TextBox 20">
          <a:extLst>
            <a:ext uri="{FF2B5EF4-FFF2-40B4-BE49-F238E27FC236}">
              <a16:creationId xmlns:a16="http://schemas.microsoft.com/office/drawing/2014/main" id="{0F21DB33-3F47-4BCB-B2FE-EC6795B44019}"/>
            </a:ext>
          </a:extLst>
        </xdr:cNvPr>
        <xdr:cNvSpPr txBox="1"/>
      </xdr:nvSpPr>
      <xdr:spPr>
        <a:xfrm>
          <a:off x="9489388" y="1053218"/>
          <a:ext cx="2778484" cy="341575"/>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atin typeface="Comic Sans MS" panose="030F0702030302020204" pitchFamily="66" charset="0"/>
            </a:rPr>
            <a:t>AVG. PROFIT </a:t>
          </a:r>
          <a:r>
            <a:rPr lang="en-US" sz="1400" b="1" baseline="0">
              <a:latin typeface="Comic Sans MS" panose="030F0702030302020204" pitchFamily="66" charset="0"/>
            </a:rPr>
            <a:t>COMPLETION </a:t>
          </a:r>
          <a:endParaRPr lang="en-IN" sz="1400" b="1">
            <a:latin typeface="Comic Sans MS" panose="030F0702030302020204" pitchFamily="66" charset="0"/>
          </a:endParaRPr>
        </a:p>
      </xdr:txBody>
    </xdr:sp>
    <xdr:clientData/>
  </xdr:twoCellAnchor>
  <xdr:twoCellAnchor>
    <xdr:from>
      <xdr:col>14</xdr:col>
      <xdr:colOff>270512</xdr:colOff>
      <xdr:row>7</xdr:row>
      <xdr:rowOff>147017</xdr:rowOff>
    </xdr:from>
    <xdr:to>
      <xdr:col>19</xdr:col>
      <xdr:colOff>232412</xdr:colOff>
      <xdr:row>9</xdr:row>
      <xdr:rowOff>120927</xdr:rowOff>
    </xdr:to>
    <xdr:sp macro="" textlink="">
      <xdr:nvSpPr>
        <xdr:cNvPr id="22" name="TextBox 21">
          <a:extLst>
            <a:ext uri="{FF2B5EF4-FFF2-40B4-BE49-F238E27FC236}">
              <a16:creationId xmlns:a16="http://schemas.microsoft.com/office/drawing/2014/main" id="{00A43CBF-4676-4EEA-A8B7-09BC5CA06D55}"/>
            </a:ext>
          </a:extLst>
        </xdr:cNvPr>
        <xdr:cNvSpPr txBox="1"/>
      </xdr:nvSpPr>
      <xdr:spPr>
        <a:xfrm>
          <a:off x="9493197" y="1538495"/>
          <a:ext cx="3059595" cy="338345"/>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atin typeface="Comic Sans MS" panose="030F0702030302020204" pitchFamily="66" charset="0"/>
            </a:rPr>
            <a:t>AVG. CUSTOMER </a:t>
          </a:r>
          <a:r>
            <a:rPr lang="en-US" sz="1400" b="1" baseline="0">
              <a:latin typeface="Comic Sans MS" panose="030F0702030302020204" pitchFamily="66" charset="0"/>
            </a:rPr>
            <a:t>COMPLETION </a:t>
          </a:r>
          <a:endParaRPr lang="en-IN" sz="1400" b="1">
            <a:latin typeface="Comic Sans MS" panose="030F0702030302020204" pitchFamily="66" charset="0"/>
          </a:endParaRPr>
        </a:p>
      </xdr:txBody>
    </xdr:sp>
    <xdr:clientData/>
  </xdr:twoCellAnchor>
  <xdr:twoCellAnchor>
    <xdr:from>
      <xdr:col>19</xdr:col>
      <xdr:colOff>412212</xdr:colOff>
      <xdr:row>5</xdr:row>
      <xdr:rowOff>17476</xdr:rowOff>
    </xdr:from>
    <xdr:to>
      <xdr:col>21</xdr:col>
      <xdr:colOff>99792</xdr:colOff>
      <xdr:row>6</xdr:row>
      <xdr:rowOff>178364</xdr:rowOff>
    </xdr:to>
    <xdr:sp macro="" textlink="">
      <xdr:nvSpPr>
        <xdr:cNvPr id="24" name="TextBox 23">
          <a:extLst>
            <a:ext uri="{FF2B5EF4-FFF2-40B4-BE49-F238E27FC236}">
              <a16:creationId xmlns:a16="http://schemas.microsoft.com/office/drawing/2014/main" id="{5C4410F9-0044-4D16-AF48-A158308A4EBC}"/>
            </a:ext>
          </a:extLst>
        </xdr:cNvPr>
        <xdr:cNvSpPr txBox="1"/>
      </xdr:nvSpPr>
      <xdr:spPr>
        <a:xfrm>
          <a:off x="12741372" y="1046176"/>
          <a:ext cx="960120" cy="343768"/>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b="1">
            <a:latin typeface="Comic Sans MS" panose="030F0702030302020204" pitchFamily="66" charset="0"/>
          </a:endParaRPr>
        </a:p>
      </xdr:txBody>
    </xdr:sp>
    <xdr:clientData/>
  </xdr:twoCellAnchor>
  <xdr:twoCellAnchor>
    <xdr:from>
      <xdr:col>19</xdr:col>
      <xdr:colOff>428409</xdr:colOff>
      <xdr:row>7</xdr:row>
      <xdr:rowOff>132430</xdr:rowOff>
    </xdr:from>
    <xdr:to>
      <xdr:col>21</xdr:col>
      <xdr:colOff>115780</xdr:colOff>
      <xdr:row>9</xdr:row>
      <xdr:rowOff>109656</xdr:rowOff>
    </xdr:to>
    <xdr:sp macro="" textlink="">
      <xdr:nvSpPr>
        <xdr:cNvPr id="25" name="TextBox 24">
          <a:extLst>
            <a:ext uri="{FF2B5EF4-FFF2-40B4-BE49-F238E27FC236}">
              <a16:creationId xmlns:a16="http://schemas.microsoft.com/office/drawing/2014/main" id="{8505D98F-2A17-4474-8E67-0491430B3E3F}"/>
            </a:ext>
          </a:extLst>
        </xdr:cNvPr>
        <xdr:cNvSpPr txBox="1"/>
      </xdr:nvSpPr>
      <xdr:spPr>
        <a:xfrm>
          <a:off x="12757569" y="1526890"/>
          <a:ext cx="959911" cy="342986"/>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b="1">
            <a:latin typeface="Comic Sans MS" panose="030F0702030302020204" pitchFamily="66" charset="0"/>
          </a:endParaRPr>
        </a:p>
      </xdr:txBody>
    </xdr:sp>
    <xdr:clientData/>
  </xdr:twoCellAnchor>
  <xdr:twoCellAnchor>
    <xdr:from>
      <xdr:col>6</xdr:col>
      <xdr:colOff>403860</xdr:colOff>
      <xdr:row>11</xdr:row>
      <xdr:rowOff>45720</xdr:rowOff>
    </xdr:from>
    <xdr:to>
      <xdr:col>13</xdr:col>
      <xdr:colOff>457200</xdr:colOff>
      <xdr:row>24</xdr:row>
      <xdr:rowOff>38100</xdr:rowOff>
    </xdr:to>
    <xdr:sp macro="" textlink="">
      <xdr:nvSpPr>
        <xdr:cNvPr id="26" name="Rectangle: Rounded Corners 25">
          <a:extLst>
            <a:ext uri="{FF2B5EF4-FFF2-40B4-BE49-F238E27FC236}">
              <a16:creationId xmlns:a16="http://schemas.microsoft.com/office/drawing/2014/main" id="{C026496F-0C25-4730-8B2A-39A7CB386F8F}"/>
            </a:ext>
          </a:extLst>
        </xdr:cNvPr>
        <xdr:cNvSpPr/>
      </xdr:nvSpPr>
      <xdr:spPr>
        <a:xfrm>
          <a:off x="4381500" y="2171700"/>
          <a:ext cx="4640580" cy="2369820"/>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1</xdr:col>
      <xdr:colOff>434340</xdr:colOff>
      <xdr:row>11</xdr:row>
      <xdr:rowOff>133010</xdr:rowOff>
    </xdr:from>
    <xdr:to>
      <xdr:col>4</xdr:col>
      <xdr:colOff>525780</xdr:colOff>
      <xdr:row>14</xdr:row>
      <xdr:rowOff>64044</xdr:rowOff>
    </xdr:to>
    <xdr:sp macro="" textlink="">
      <xdr:nvSpPr>
        <xdr:cNvPr id="27" name="TextBox 26">
          <a:extLst>
            <a:ext uri="{FF2B5EF4-FFF2-40B4-BE49-F238E27FC236}">
              <a16:creationId xmlns:a16="http://schemas.microsoft.com/office/drawing/2014/main" id="{8B0AED24-DDB2-4A2B-83A9-98BBDCA6B46D}"/>
            </a:ext>
          </a:extLst>
        </xdr:cNvPr>
        <xdr:cNvSpPr txBox="1"/>
      </xdr:nvSpPr>
      <xdr:spPr>
        <a:xfrm>
          <a:off x="1042011" y="2264681"/>
          <a:ext cx="2078427" cy="480831"/>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lumMod val="95000"/>
                  <a:lumOff val="5000"/>
                </a:schemeClr>
              </a:solidFill>
              <a:latin typeface="Comic Sans MS" panose="030F0702030302020204" pitchFamily="66" charset="0"/>
            </a:rPr>
            <a:t>SLICERS</a:t>
          </a:r>
        </a:p>
      </xdr:txBody>
    </xdr:sp>
    <xdr:clientData/>
  </xdr:twoCellAnchor>
  <xdr:twoCellAnchor>
    <xdr:from>
      <xdr:col>14</xdr:col>
      <xdr:colOff>30480</xdr:colOff>
      <xdr:row>11</xdr:row>
      <xdr:rowOff>40005</xdr:rowOff>
    </xdr:from>
    <xdr:to>
      <xdr:col>21</xdr:col>
      <xdr:colOff>601980</xdr:colOff>
      <xdr:row>24</xdr:row>
      <xdr:rowOff>32385</xdr:rowOff>
    </xdr:to>
    <xdr:sp macro="" textlink="">
      <xdr:nvSpPr>
        <xdr:cNvPr id="28" name="Rectangle: Rounded Corners 27">
          <a:extLst>
            <a:ext uri="{FF2B5EF4-FFF2-40B4-BE49-F238E27FC236}">
              <a16:creationId xmlns:a16="http://schemas.microsoft.com/office/drawing/2014/main" id="{82FD14FF-3007-4279-A7CE-E6CD45566E35}"/>
            </a:ext>
          </a:extLst>
        </xdr:cNvPr>
        <xdr:cNvSpPr/>
      </xdr:nvSpPr>
      <xdr:spPr>
        <a:xfrm>
          <a:off x="9204960" y="2165985"/>
          <a:ext cx="4945380" cy="2369820"/>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6</xdr:col>
      <xdr:colOff>396240</xdr:colOff>
      <xdr:row>25</xdr:row>
      <xdr:rowOff>114300</xdr:rowOff>
    </xdr:from>
    <xdr:to>
      <xdr:col>13</xdr:col>
      <xdr:colOff>449580</xdr:colOff>
      <xdr:row>38</xdr:row>
      <xdr:rowOff>76200</xdr:rowOff>
    </xdr:to>
    <xdr:sp macro="" textlink="">
      <xdr:nvSpPr>
        <xdr:cNvPr id="30" name="Rectangle: Rounded Corners 29">
          <a:extLst>
            <a:ext uri="{FF2B5EF4-FFF2-40B4-BE49-F238E27FC236}">
              <a16:creationId xmlns:a16="http://schemas.microsoft.com/office/drawing/2014/main" id="{C47336BA-8B00-4DAA-8AAD-5032ACEFAB6D}"/>
            </a:ext>
          </a:extLst>
        </xdr:cNvPr>
        <xdr:cNvSpPr/>
      </xdr:nvSpPr>
      <xdr:spPr>
        <a:xfrm>
          <a:off x="4373880" y="4800600"/>
          <a:ext cx="4640580" cy="2339340"/>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13</xdr:col>
      <xdr:colOff>579120</xdr:colOff>
      <xdr:row>25</xdr:row>
      <xdr:rowOff>106680</xdr:rowOff>
    </xdr:from>
    <xdr:to>
      <xdr:col>22</xdr:col>
      <xdr:colOff>53340</xdr:colOff>
      <xdr:row>38</xdr:row>
      <xdr:rowOff>99060</xdr:rowOff>
    </xdr:to>
    <xdr:sp macro="" textlink="">
      <xdr:nvSpPr>
        <xdr:cNvPr id="31" name="Rectangle: Rounded Corners 30">
          <a:extLst>
            <a:ext uri="{FF2B5EF4-FFF2-40B4-BE49-F238E27FC236}">
              <a16:creationId xmlns:a16="http://schemas.microsoft.com/office/drawing/2014/main" id="{E7A6D442-CDBF-4E46-8D2C-6B4AB5F0B3DA}"/>
            </a:ext>
          </a:extLst>
        </xdr:cNvPr>
        <xdr:cNvSpPr/>
      </xdr:nvSpPr>
      <xdr:spPr>
        <a:xfrm>
          <a:off x="9144000" y="4792980"/>
          <a:ext cx="5067300" cy="2369820"/>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3</xdr:col>
      <xdr:colOff>397782</xdr:colOff>
      <xdr:row>5</xdr:row>
      <xdr:rowOff>99059</xdr:rowOff>
    </xdr:from>
    <xdr:to>
      <xdr:col>6</xdr:col>
      <xdr:colOff>358589</xdr:colOff>
      <xdr:row>8</xdr:row>
      <xdr:rowOff>175038</xdr:rowOff>
    </xdr:to>
    <xdr:sp macro="" textlink="">
      <xdr:nvSpPr>
        <xdr:cNvPr id="2" name="TextBox 1">
          <a:extLst>
            <a:ext uri="{FF2B5EF4-FFF2-40B4-BE49-F238E27FC236}">
              <a16:creationId xmlns:a16="http://schemas.microsoft.com/office/drawing/2014/main" id="{40091C6C-7ACD-4A07-B5F7-9E5CA9E10E28}"/>
            </a:ext>
          </a:extLst>
        </xdr:cNvPr>
        <xdr:cNvSpPr txBox="1"/>
      </xdr:nvSpPr>
      <xdr:spPr>
        <a:xfrm>
          <a:off x="2386602" y="1127759"/>
          <a:ext cx="1949627" cy="624619"/>
        </a:xfrm>
        <a:prstGeom prst="round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Comic Sans MS" panose="030F0702030302020204" pitchFamily="66" charset="0"/>
            </a:rPr>
            <a:t>TOTAL</a:t>
          </a:r>
          <a:r>
            <a:rPr lang="en-IN" sz="1400" b="1" baseline="0">
              <a:latin typeface="Comic Sans MS" panose="030F0702030302020204" pitchFamily="66" charset="0"/>
            </a:rPr>
            <a:t> PROFIT</a:t>
          </a:r>
        </a:p>
      </xdr:txBody>
    </xdr:sp>
    <xdr:clientData/>
  </xdr:twoCellAnchor>
  <xdr:twoCellAnchor>
    <xdr:from>
      <xdr:col>0</xdr:col>
      <xdr:colOff>83820</xdr:colOff>
      <xdr:row>25</xdr:row>
      <xdr:rowOff>45720</xdr:rowOff>
    </xdr:from>
    <xdr:to>
      <xdr:col>6</xdr:col>
      <xdr:colOff>129540</xdr:colOff>
      <xdr:row>38</xdr:row>
      <xdr:rowOff>60960</xdr:rowOff>
    </xdr:to>
    <xdr:sp macro="" textlink="">
      <xdr:nvSpPr>
        <xdr:cNvPr id="32" name="Rectangle: Rounded Corners 31">
          <a:extLst>
            <a:ext uri="{FF2B5EF4-FFF2-40B4-BE49-F238E27FC236}">
              <a16:creationId xmlns:a16="http://schemas.microsoft.com/office/drawing/2014/main" id="{AA3EBC92-78DC-444C-9F79-7CF266CA982A}"/>
            </a:ext>
          </a:extLst>
        </xdr:cNvPr>
        <xdr:cNvSpPr/>
      </xdr:nvSpPr>
      <xdr:spPr>
        <a:xfrm>
          <a:off x="83820" y="4732020"/>
          <a:ext cx="4023360" cy="2392680"/>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0</xdr:col>
      <xdr:colOff>137160</xdr:colOff>
      <xdr:row>4</xdr:row>
      <xdr:rowOff>147872</xdr:rowOff>
    </xdr:from>
    <xdr:to>
      <xdr:col>22</xdr:col>
      <xdr:colOff>0</xdr:colOff>
      <xdr:row>10</xdr:row>
      <xdr:rowOff>79292</xdr:rowOff>
    </xdr:to>
    <xdr:sp macro="" textlink="">
      <xdr:nvSpPr>
        <xdr:cNvPr id="8" name="Rectangle: Rounded Corners 7">
          <a:extLst>
            <a:ext uri="{FF2B5EF4-FFF2-40B4-BE49-F238E27FC236}">
              <a16:creationId xmlns:a16="http://schemas.microsoft.com/office/drawing/2014/main" id="{A1A06EE4-046D-4054-A6A5-4C9A920B6801}"/>
            </a:ext>
          </a:extLst>
        </xdr:cNvPr>
        <xdr:cNvSpPr/>
      </xdr:nvSpPr>
      <xdr:spPr>
        <a:xfrm>
          <a:off x="137160" y="879392"/>
          <a:ext cx="14074140" cy="1143000"/>
        </a:xfrm>
        <a:prstGeom prst="roundRect">
          <a:avLst/>
        </a:prstGeom>
        <a:noFill/>
        <a:ln w="2857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lumMod val="95000"/>
              </a:schemeClr>
            </a:solidFill>
          </a:endParaRPr>
        </a:p>
      </xdr:txBody>
    </xdr:sp>
    <xdr:clientData/>
  </xdr:twoCellAnchor>
  <xdr:twoCellAnchor>
    <xdr:from>
      <xdr:col>3</xdr:col>
      <xdr:colOff>487680</xdr:colOff>
      <xdr:row>0</xdr:row>
      <xdr:rowOff>114300</xdr:rowOff>
    </xdr:from>
    <xdr:to>
      <xdr:col>17</xdr:col>
      <xdr:colOff>495300</xdr:colOff>
      <xdr:row>4</xdr:row>
      <xdr:rowOff>45720</xdr:rowOff>
    </xdr:to>
    <xdr:sp macro="" textlink="">
      <xdr:nvSpPr>
        <xdr:cNvPr id="9" name="Rectangle: Rounded Corners 8">
          <a:extLst>
            <a:ext uri="{FF2B5EF4-FFF2-40B4-BE49-F238E27FC236}">
              <a16:creationId xmlns:a16="http://schemas.microsoft.com/office/drawing/2014/main" id="{1848DC92-C1A0-4798-B393-16D475BF0E35}"/>
            </a:ext>
          </a:extLst>
        </xdr:cNvPr>
        <xdr:cNvSpPr/>
      </xdr:nvSpPr>
      <xdr:spPr>
        <a:xfrm>
          <a:off x="2476500" y="114300"/>
          <a:ext cx="9128760" cy="662940"/>
        </a:xfrm>
        <a:prstGeom prst="roundRect">
          <a:avLst/>
        </a:prstGeom>
        <a:ln>
          <a:solidFill>
            <a:schemeClr val="bg1"/>
          </a:solid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4800" b="1" cap="none" spc="50">
              <a:ln w="0"/>
              <a:solidFill>
                <a:schemeClr val="bg2"/>
              </a:solidFill>
              <a:effectLst>
                <a:innerShdw blurRad="63500" dist="50800" dir="13500000">
                  <a:srgbClr val="000000">
                    <a:alpha val="50000"/>
                  </a:srgbClr>
                </a:innerShdw>
              </a:effectLst>
              <a:latin typeface="Agency FB" panose="020B0503020202020204" pitchFamily="34" charset="0"/>
            </a:rPr>
            <a:t>SALES AND PROFIT </a:t>
          </a:r>
          <a:r>
            <a:rPr lang="en-US" sz="4800" b="1" cap="none" spc="50">
              <a:ln w="0"/>
              <a:solidFill>
                <a:schemeClr val="bg2"/>
              </a:solidFill>
              <a:effectLst>
                <a:innerShdw blurRad="63500" dist="50800" dir="13500000">
                  <a:srgbClr val="000000">
                    <a:alpha val="50000"/>
                  </a:srgbClr>
                </a:innerShdw>
              </a:effectLst>
              <a:latin typeface="Agency FB" panose="020B0503020202020204" pitchFamily="34" charset="0"/>
            </a:rPr>
            <a:t>ANALYSIS </a:t>
          </a:r>
          <a:endParaRPr lang="en-IN" sz="1600" b="1" cap="none" spc="50">
            <a:ln w="0"/>
            <a:solidFill>
              <a:schemeClr val="bg2"/>
            </a:solidFill>
            <a:effectLst>
              <a:innerShdw blurRad="63500" dist="50800" dir="13500000">
                <a:srgbClr val="000000">
                  <a:alpha val="50000"/>
                </a:srgbClr>
              </a:innerShdw>
            </a:effectLst>
            <a:latin typeface="Agency FB" panose="020B0503020202020204" pitchFamily="34" charset="0"/>
          </a:endParaRPr>
        </a:p>
      </xdr:txBody>
    </xdr:sp>
    <xdr:clientData/>
  </xdr:twoCellAnchor>
  <xdr:twoCellAnchor>
    <xdr:from>
      <xdr:col>6</xdr:col>
      <xdr:colOff>464820</xdr:colOff>
      <xdr:row>11</xdr:row>
      <xdr:rowOff>91440</xdr:rowOff>
    </xdr:from>
    <xdr:to>
      <xdr:col>13</xdr:col>
      <xdr:colOff>457200</xdr:colOff>
      <xdr:row>24</xdr:row>
      <xdr:rowOff>22860</xdr:rowOff>
    </xdr:to>
    <xdr:graphicFrame macro="">
      <xdr:nvGraphicFramePr>
        <xdr:cNvPr id="4" name="Chart 3">
          <a:extLst>
            <a:ext uri="{FF2B5EF4-FFF2-40B4-BE49-F238E27FC236}">
              <a16:creationId xmlns:a16="http://schemas.microsoft.com/office/drawing/2014/main" id="{22D52FD6-3DB3-49A4-B30D-215984F88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Gursewak Singh" refreshedDate="46121.729653703704" createdVersion="8" refreshedVersion="8" minRefreshableVersion="3" recordCount="62" xr:uid="{4029F52B-F1B5-4BD4-AC4E-8B5AB904FEAD}">
  <cacheSource type="worksheet">
    <worksheetSource ref="A1:M63" sheet="Data"/>
  </cacheSource>
  <cacheFields count="15">
    <cacheField name="Date" numFmtId="14">
      <sharedItems containsSemiMixedTypes="0" containsNonDate="0" containsDate="1" containsString="0" minDate="2023-01-19T00:00:00" maxDate="2023-12-16T00:00:00" count="43">
        <d v="2023-10-14T00:00:00"/>
        <d v="2023-11-27T00:00:00"/>
        <d v="2023-03-01T00:00:00"/>
        <d v="2023-06-01T00:00:00"/>
        <d v="2023-08-22T00:00:00"/>
        <d v="2023-08-09T00:00:00"/>
        <d v="2023-01-19T00:00:00"/>
        <d v="2023-04-28T00:00:00"/>
        <d v="2023-05-14T00:00:00"/>
        <d v="2023-10-26T00:00:00"/>
        <d v="2023-03-10T00:00:00"/>
        <d v="2023-11-03T00:00:00"/>
        <d v="2023-11-02T00:00:00"/>
        <d v="2023-04-14T00:00:00"/>
        <d v="2023-12-06T00:00:00"/>
        <d v="2023-05-08T00:00:00"/>
        <d v="2023-04-03T00:00:00"/>
        <d v="2023-10-27T00:00:00"/>
        <d v="2023-01-28T00:00:00"/>
        <d v="2023-01-29T00:00:00"/>
        <d v="2023-01-30T00:00:00"/>
        <d v="2023-01-31T00:00:00"/>
        <d v="2023-11-01T00:00:00"/>
        <d v="2023-11-13T00:00:00"/>
        <d v="2023-06-30T00:00:00"/>
        <d v="2023-06-26T00:00:00"/>
        <d v="2023-09-10T00:00:00"/>
        <d v="2023-10-28T00:00:00"/>
        <d v="2023-03-12T00:00:00"/>
        <d v="2023-12-15T00:00:00"/>
        <d v="2023-07-22T00:00:00"/>
        <d v="2023-04-02T00:00:00"/>
        <d v="2023-02-22T00:00:00"/>
        <d v="2023-07-23T00:00:00"/>
        <d v="2023-07-20T00:00:00"/>
        <d v="2023-06-21T00:00:00"/>
        <d v="2023-10-19T00:00:00"/>
        <d v="2023-10-31T00:00:00"/>
        <d v="2023-10-30T00:00:00"/>
        <d v="2023-10-29T00:00:00"/>
        <d v="2023-02-28T00:00:00"/>
        <d v="2023-02-27T00:00:00"/>
        <d v="2023-02-26T00:00:00"/>
      </sharedItems>
      <fieldGroup par="14"/>
    </cacheField>
    <cacheField name="Region" numFmtId="0">
      <sharedItems count="4">
        <s v="South"/>
        <s v="North"/>
        <s v="West"/>
        <s v="East"/>
      </sharedItems>
    </cacheField>
    <cacheField name="Sales" numFmtId="164">
      <sharedItems containsSemiMixedTypes="0" containsString="0" containsNumber="1" containsInteger="1" minValue="1000" maxValue="6500"/>
    </cacheField>
    <cacheField name="Profit" numFmtId="164">
      <sharedItems containsSemiMixedTypes="0" containsString="0" containsNumber="1" minValue="385.71428571428601" maxValue="5214.2857142857101"/>
    </cacheField>
    <cacheField name="Target Sales" numFmtId="164">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9">
      <sharedItems containsSemiMixedTypes="0" containsString="0" containsNumber="1" minValue="0.7" maxValue="0.99"/>
    </cacheField>
    <cacheField name="Profit Completion Rate" numFmtId="9">
      <sharedItems containsSemiMixedTypes="0" containsString="0" containsNumber="1" minValue="0.7" maxValue="0.99"/>
    </cacheField>
    <cacheField name="Customer Completion Rate" numFmtId="9">
      <sharedItems containsSemiMixedTypes="0" containsString="0" containsNumber="1" minValue="0.7" maxValue="0.99"/>
    </cacheField>
    <cacheField name="Country" numFmtId="0">
      <sharedItems count="5">
        <s v="Ecuador"/>
        <s v="Brazil"/>
        <s v="Colombia"/>
        <s v="Argentina"/>
        <s v="Peru"/>
      </sharedItems>
    </cacheField>
    <cacheField name="Customer Satisfaction" numFmtId="0">
      <sharedItems count="5">
        <s v="Hygiene"/>
        <s v="Quality"/>
        <s v="Speed"/>
        <s v="Availability"/>
        <s v="Service"/>
      </sharedItems>
    </cacheField>
    <cacheField name="Score" numFmtId="0">
      <sharedItems containsSemiMixedTypes="0" containsString="0" containsNumber="1" containsInteger="1" minValue="2" maxValue="9"/>
    </cacheField>
    <cacheField name="Quarters" numFmtId="0">
      <sharedItems count="8">
        <s v="Fourth Quarter"/>
        <s v="First Quarter"/>
        <s v="Second Quarter"/>
        <s v="Third Quarter"/>
        <s v="Q2" u="1"/>
        <s v="Q1" u="1"/>
        <s v="Q4" u="1"/>
        <s v="Q3" u="1"/>
      </sharedItems>
    </cacheField>
    <cacheField name="Days (Date)" numFmtId="0" databaseField="0">
      <fieldGroup base="0">
        <rangePr groupBy="days" startDate="2023-01-19T00:00:00" endDate="2023-12-16T00:00:00"/>
        <groupItems count="368">
          <s v="&lt;19-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2-2023"/>
        </groupItems>
      </fieldGroup>
    </cacheField>
    <cacheField name="Months (Date)" numFmtId="0" databaseField="0">
      <fieldGroup base="0">
        <rangePr groupBy="months" startDate="2023-01-19T00:00:00" endDate="2023-12-16T00:00:00"/>
        <groupItems count="14">
          <s v="&lt;19-01-2023"/>
          <s v="Jan"/>
          <s v="Feb"/>
          <s v="Mar"/>
          <s v="Apr"/>
          <s v="May"/>
          <s v="Jun"/>
          <s v="Jul"/>
          <s v="Aug"/>
          <s v="Sep"/>
          <s v="Oct"/>
          <s v="Nov"/>
          <s v="Dec"/>
          <s v="&gt;16-12-2023"/>
        </groupItems>
      </fieldGroup>
    </cacheField>
  </cacheFields>
  <extLst>
    <ext xmlns:x14="http://schemas.microsoft.com/office/spreadsheetml/2009/9/main" uri="{725AE2AE-9491-48be-B2B4-4EB974FC3084}">
      <x14:pivotCacheDefinition pivotCacheId="2046087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n v="6500"/>
    <n v="385.71428571428601"/>
    <n v="285.71428571428572"/>
    <n v="285"/>
    <n v="0.78"/>
    <n v="0.8"/>
    <n v="0.85"/>
    <x v="0"/>
    <x v="0"/>
    <n v="5"/>
    <x v="0"/>
  </r>
  <r>
    <x v="1"/>
    <x v="1"/>
    <n v="6000"/>
    <n v="385.71428571428601"/>
    <n v="285.71428571428572"/>
    <n v="270"/>
    <n v="0.77"/>
    <n v="0.96"/>
    <n v="0.78"/>
    <x v="1"/>
    <x v="1"/>
    <n v="9"/>
    <x v="0"/>
  </r>
  <r>
    <x v="2"/>
    <x v="2"/>
    <n v="5500"/>
    <n v="385.71428571428601"/>
    <n v="285.71428571428572"/>
    <n v="310"/>
    <n v="0.77"/>
    <n v="0.72"/>
    <n v="0.85"/>
    <x v="2"/>
    <x v="2"/>
    <n v="7"/>
    <x v="1"/>
  </r>
  <r>
    <x v="3"/>
    <x v="0"/>
    <n v="4500"/>
    <n v="385.71428571428601"/>
    <n v="285.71428571428572"/>
    <n v="290"/>
    <n v="0.99"/>
    <n v="0.97"/>
    <n v="0.73"/>
    <x v="3"/>
    <x v="3"/>
    <n v="2"/>
    <x v="2"/>
  </r>
  <r>
    <x v="4"/>
    <x v="2"/>
    <n v="4000"/>
    <n v="385.71428571428601"/>
    <n v="285.71428571428572"/>
    <n v="275"/>
    <n v="0.86"/>
    <n v="0.75"/>
    <n v="0.96"/>
    <x v="1"/>
    <x v="0"/>
    <n v="4"/>
    <x v="3"/>
  </r>
  <r>
    <x v="5"/>
    <x v="1"/>
    <n v="4000"/>
    <n v="385.71428571428601"/>
    <n v="285.71428571428572"/>
    <n v="285"/>
    <n v="0.96"/>
    <n v="0.77"/>
    <n v="0.92"/>
    <x v="0"/>
    <x v="4"/>
    <n v="3"/>
    <x v="3"/>
  </r>
  <r>
    <x v="6"/>
    <x v="0"/>
    <n v="3944"/>
    <n v="385.71428571428601"/>
    <n v="285.71428571428572"/>
    <n v="285"/>
    <n v="0.85"/>
    <n v="0.91"/>
    <n v="0.84"/>
    <x v="3"/>
    <x v="1"/>
    <n v="8"/>
    <x v="1"/>
  </r>
  <r>
    <x v="7"/>
    <x v="0"/>
    <n v="3293"/>
    <n v="914.28571428571399"/>
    <n v="714.28571428571433"/>
    <n v="242"/>
    <n v="0.84"/>
    <n v="0.79"/>
    <n v="0.8"/>
    <x v="0"/>
    <x v="2"/>
    <n v="6"/>
    <x v="2"/>
  </r>
  <r>
    <x v="8"/>
    <x v="3"/>
    <n v="3000"/>
    <n v="914.28571428571399"/>
    <n v="714.28571428571433"/>
    <n v="242"/>
    <n v="0.81"/>
    <n v="0.92"/>
    <n v="0.91"/>
    <x v="3"/>
    <x v="0"/>
    <n v="7"/>
    <x v="2"/>
  </r>
  <r>
    <x v="9"/>
    <x v="0"/>
    <n v="3000"/>
    <n v="914.28571428571399"/>
    <n v="714.28571428571433"/>
    <n v="242"/>
    <n v="0.84"/>
    <n v="0.73"/>
    <n v="0.99"/>
    <x v="2"/>
    <x v="4"/>
    <n v="9"/>
    <x v="0"/>
  </r>
  <r>
    <x v="10"/>
    <x v="0"/>
    <n v="3000"/>
    <n v="914.28571428571399"/>
    <n v="714.28571428571433"/>
    <n v="240"/>
    <n v="0.93"/>
    <n v="0.79"/>
    <n v="0.72"/>
    <x v="1"/>
    <x v="3"/>
    <n v="5"/>
    <x v="1"/>
  </r>
  <r>
    <x v="11"/>
    <x v="3"/>
    <n v="2980"/>
    <n v="914.28571428571399"/>
    <n v="714.28571428571433"/>
    <n v="242"/>
    <n v="0.88"/>
    <n v="0.84"/>
    <n v="0.75"/>
    <x v="0"/>
    <x v="1"/>
    <n v="2"/>
    <x v="0"/>
  </r>
  <r>
    <x v="12"/>
    <x v="3"/>
    <n v="2581"/>
    <n v="914.28571428571399"/>
    <n v="714.28571428571433"/>
    <n v="250"/>
    <n v="0.85"/>
    <n v="0.82"/>
    <n v="0.73"/>
    <x v="1"/>
    <x v="2"/>
    <n v="3"/>
    <x v="0"/>
  </r>
  <r>
    <x v="13"/>
    <x v="2"/>
    <n v="2500"/>
    <n v="757.142857142857"/>
    <n v="857.14285714285711"/>
    <n v="220"/>
    <n v="0.81"/>
    <n v="0.98"/>
    <n v="0.86"/>
    <x v="1"/>
    <x v="1"/>
    <n v="7"/>
    <x v="2"/>
  </r>
  <r>
    <x v="14"/>
    <x v="1"/>
    <n v="2500"/>
    <n v="757.142857142857"/>
    <n v="857.14285714285711"/>
    <n v="228"/>
    <n v="0.86"/>
    <n v="0.82"/>
    <n v="0.86"/>
    <x v="0"/>
    <x v="0"/>
    <n v="9"/>
    <x v="0"/>
  </r>
  <r>
    <x v="15"/>
    <x v="3"/>
    <n v="2500"/>
    <n v="757.142857142857"/>
    <n v="857.14285714285711"/>
    <n v="238"/>
    <n v="0.72"/>
    <n v="0.95"/>
    <n v="0.9"/>
    <x v="4"/>
    <x v="4"/>
    <n v="5"/>
    <x v="2"/>
  </r>
  <r>
    <x v="16"/>
    <x v="0"/>
    <n v="2500"/>
    <n v="757.142857142857"/>
    <n v="857.14285714285711"/>
    <n v="228"/>
    <n v="0.71"/>
    <n v="0.8"/>
    <n v="0.76"/>
    <x v="4"/>
    <x v="3"/>
    <n v="5"/>
    <x v="1"/>
  </r>
  <r>
    <x v="3"/>
    <x v="0"/>
    <n v="2500"/>
    <n v="757.142857142857"/>
    <n v="857.14285714285711"/>
    <n v="230"/>
    <n v="0.97"/>
    <n v="0.95"/>
    <n v="0.85"/>
    <x v="4"/>
    <x v="2"/>
    <n v="8"/>
    <x v="2"/>
  </r>
  <r>
    <x v="11"/>
    <x v="1"/>
    <n v="2500"/>
    <n v="757.142857142857"/>
    <n v="857.14285714285711"/>
    <n v="228"/>
    <n v="0.95"/>
    <n v="0.85"/>
    <n v="0.91"/>
    <x v="1"/>
    <x v="1"/>
    <n v="4"/>
    <x v="0"/>
  </r>
  <r>
    <x v="8"/>
    <x v="3"/>
    <n v="2500"/>
    <n v="914.28571428571399"/>
    <n v="714.28571428571433"/>
    <n v="250"/>
    <n v="0.97"/>
    <n v="0.7"/>
    <n v="0.93"/>
    <x v="1"/>
    <x v="0"/>
    <n v="3"/>
    <x v="2"/>
  </r>
  <r>
    <x v="9"/>
    <x v="0"/>
    <n v="2500"/>
    <n v="914.28571428571399"/>
    <n v="714.28571428571433"/>
    <n v="240"/>
    <n v="0.9"/>
    <n v="0.98"/>
    <n v="0.96"/>
    <x v="1"/>
    <x v="4"/>
    <n v="2"/>
    <x v="0"/>
  </r>
  <r>
    <x v="17"/>
    <x v="3"/>
    <n v="2500"/>
    <n v="914.28571428571399"/>
    <n v="714.28571428571433"/>
    <n v="270"/>
    <n v="0.9"/>
    <n v="0.95"/>
    <n v="0.98"/>
    <x v="1"/>
    <x v="3"/>
    <n v="3"/>
    <x v="0"/>
  </r>
  <r>
    <x v="18"/>
    <x v="2"/>
    <n v="2500"/>
    <n v="914.28571428571399"/>
    <n v="714.28571428571433"/>
    <n v="259"/>
    <n v="0.96"/>
    <n v="0.81"/>
    <n v="0.85"/>
    <x v="1"/>
    <x v="2"/>
    <n v="9"/>
    <x v="1"/>
  </r>
  <r>
    <x v="19"/>
    <x v="2"/>
    <n v="2500"/>
    <n v="914.28571428571399"/>
    <n v="714.28571428571433"/>
    <n v="260"/>
    <n v="0.98"/>
    <n v="0.84"/>
    <n v="0.89"/>
    <x v="1"/>
    <x v="2"/>
    <n v="5"/>
    <x v="1"/>
  </r>
  <r>
    <x v="20"/>
    <x v="2"/>
    <n v="2500"/>
    <n v="914.28571428571399"/>
    <n v="714.28571428571433"/>
    <n v="260"/>
    <n v="0.76"/>
    <n v="0.7"/>
    <n v="0.86"/>
    <x v="1"/>
    <x v="0"/>
    <n v="6"/>
    <x v="1"/>
  </r>
  <r>
    <x v="21"/>
    <x v="3"/>
    <n v="2500"/>
    <n v="914.28571428571399"/>
    <n v="714.28571428571433"/>
    <n v="261"/>
    <n v="0.91"/>
    <n v="0.77"/>
    <n v="0.75"/>
    <x v="3"/>
    <x v="4"/>
    <n v="8"/>
    <x v="1"/>
  </r>
  <r>
    <x v="22"/>
    <x v="3"/>
    <n v="2500"/>
    <n v="914.28571428571399"/>
    <n v="714.28571428571433"/>
    <n v="242"/>
    <n v="0.79"/>
    <n v="0.81"/>
    <n v="0.74"/>
    <x v="2"/>
    <x v="3"/>
    <n v="4"/>
    <x v="0"/>
  </r>
  <r>
    <x v="23"/>
    <x v="0"/>
    <n v="2450"/>
    <n v="2957.1428571428601"/>
    <n v="2857.1428571428573"/>
    <n v="90"/>
    <n v="0.77"/>
    <n v="0.97"/>
    <n v="0.78"/>
    <x v="3"/>
    <x v="3"/>
    <n v="3"/>
    <x v="0"/>
  </r>
  <r>
    <x v="24"/>
    <x v="0"/>
    <n v="2450"/>
    <n v="757.142857142857"/>
    <n v="857.14285714285711"/>
    <n v="228"/>
    <n v="0.79"/>
    <n v="0.75"/>
    <n v="0.93"/>
    <x v="2"/>
    <x v="2"/>
    <n v="2"/>
    <x v="2"/>
  </r>
  <r>
    <x v="25"/>
    <x v="0"/>
    <n v="2440"/>
    <n v="2957.1428571428601"/>
    <n v="2857.1428571428573"/>
    <n v="100"/>
    <n v="0.75"/>
    <n v="0.97"/>
    <n v="0.83"/>
    <x v="2"/>
    <x v="4"/>
    <n v="4"/>
    <x v="2"/>
  </r>
  <r>
    <x v="26"/>
    <x v="3"/>
    <n v="2400"/>
    <n v="2957.1428571428601"/>
    <n v="2857.1428571428573"/>
    <n v="90"/>
    <n v="0.93"/>
    <n v="0.74"/>
    <n v="0.93"/>
    <x v="1"/>
    <x v="2"/>
    <n v="5"/>
    <x v="3"/>
  </r>
  <r>
    <x v="27"/>
    <x v="0"/>
    <n v="2400"/>
    <n v="2957.1428571428601"/>
    <n v="2857.1428571428573"/>
    <n v="90"/>
    <n v="0.92"/>
    <n v="0.99"/>
    <n v="0.88"/>
    <x v="3"/>
    <x v="0"/>
    <n v="8"/>
    <x v="0"/>
  </r>
  <r>
    <x v="28"/>
    <x v="3"/>
    <n v="2250"/>
    <n v="2957.1428571428601"/>
    <n v="2857.1428571428573"/>
    <n v="80"/>
    <n v="0.73"/>
    <n v="0.96"/>
    <n v="0.93"/>
    <x v="0"/>
    <x v="3"/>
    <n v="4"/>
    <x v="1"/>
  </r>
  <r>
    <x v="29"/>
    <x v="3"/>
    <n v="2209"/>
    <n v="2957.1428571428601"/>
    <n v="2857.1428571428573"/>
    <n v="90"/>
    <n v="0.75"/>
    <n v="0.77"/>
    <n v="0.84"/>
    <x v="0"/>
    <x v="4"/>
    <n v="7"/>
    <x v="0"/>
  </r>
  <r>
    <x v="30"/>
    <x v="2"/>
    <n v="2200"/>
    <n v="5214.2857142857101"/>
    <n v="6714.2857142857101"/>
    <n v="100"/>
    <n v="0.81"/>
    <n v="0.91"/>
    <n v="0.95"/>
    <x v="0"/>
    <x v="3"/>
    <n v="8"/>
    <x v="3"/>
  </r>
  <r>
    <x v="31"/>
    <x v="3"/>
    <n v="2200"/>
    <n v="5214.2857142857101"/>
    <n v="6714.2857142857101"/>
    <n v="100"/>
    <n v="0.97"/>
    <n v="0.85"/>
    <n v="0.85"/>
    <x v="3"/>
    <x v="2"/>
    <n v="4"/>
    <x v="1"/>
  </r>
  <r>
    <x v="32"/>
    <x v="3"/>
    <n v="2200"/>
    <n v="5214.2857142857101"/>
    <n v="6714.2857142857101"/>
    <n v="100"/>
    <n v="0.89"/>
    <n v="0.94"/>
    <n v="0.8"/>
    <x v="2"/>
    <x v="2"/>
    <n v="3"/>
    <x v="1"/>
  </r>
  <r>
    <x v="26"/>
    <x v="3"/>
    <n v="2200"/>
    <n v="5214.2857142857101"/>
    <n v="6714.2857142857101"/>
    <n v="100"/>
    <n v="0.88"/>
    <n v="0.94"/>
    <n v="0.7"/>
    <x v="1"/>
    <x v="0"/>
    <n v="2"/>
    <x v="3"/>
  </r>
  <r>
    <x v="33"/>
    <x v="0"/>
    <n v="2150"/>
    <n v="5214.2857142857101"/>
    <n v="6714.2857142857101"/>
    <n v="100"/>
    <n v="0.89"/>
    <n v="0.8"/>
    <n v="0.88"/>
    <x v="3"/>
    <x v="0"/>
    <n v="5"/>
    <x v="3"/>
  </r>
  <r>
    <x v="34"/>
    <x v="3"/>
    <n v="2150"/>
    <n v="1214.2857142857099"/>
    <n v="6714.2857142857101"/>
    <n v="100"/>
    <n v="0.98"/>
    <n v="0.99"/>
    <n v="0.81"/>
    <x v="1"/>
    <x v="2"/>
    <n v="6"/>
    <x v="3"/>
  </r>
  <r>
    <x v="0"/>
    <x v="1"/>
    <n v="2100"/>
    <n v="1328.57142857143"/>
    <n v="1428.5714285714287"/>
    <n v="43"/>
    <n v="0.9"/>
    <n v="0.72"/>
    <n v="0.94"/>
    <x v="1"/>
    <x v="2"/>
    <n v="7"/>
    <x v="0"/>
  </r>
  <r>
    <x v="35"/>
    <x v="3"/>
    <n v="2100"/>
    <n v="5214.2857142857101"/>
    <n v="6714.2857142857101"/>
    <n v="100"/>
    <n v="0.89"/>
    <n v="0.85"/>
    <n v="0.87"/>
    <x v="0"/>
    <x v="1"/>
    <n v="9"/>
    <x v="2"/>
  </r>
  <r>
    <x v="1"/>
    <x v="1"/>
    <n v="2019"/>
    <n v="1328.57142857143"/>
    <n v="1428.5714285714287"/>
    <n v="40"/>
    <n v="0.71"/>
    <n v="0.87"/>
    <n v="0.94"/>
    <x v="2"/>
    <x v="3"/>
    <n v="2"/>
    <x v="0"/>
  </r>
  <r>
    <x v="11"/>
    <x v="2"/>
    <n v="2000"/>
    <n v="1328.57142857143"/>
    <n v="4428.5714285714303"/>
    <n v="15"/>
    <n v="0.91"/>
    <n v="0.98"/>
    <n v="0.89"/>
    <x v="1"/>
    <x v="4"/>
    <n v="4"/>
    <x v="0"/>
  </r>
  <r>
    <x v="8"/>
    <x v="2"/>
    <n v="2000"/>
    <n v="1328.57142857143"/>
    <n v="4428.5714285714303"/>
    <n v="40"/>
    <n v="0.74"/>
    <n v="0.85"/>
    <n v="0.7"/>
    <x v="1"/>
    <x v="2"/>
    <n v="3"/>
    <x v="2"/>
  </r>
  <r>
    <x v="9"/>
    <x v="3"/>
    <n v="2000"/>
    <n v="1328.57142857143"/>
    <n v="4428.5714285714303"/>
    <n v="100"/>
    <n v="0.9"/>
    <n v="0.9"/>
    <n v="0.72"/>
    <x v="1"/>
    <x v="1"/>
    <n v="2"/>
    <x v="0"/>
  </r>
  <r>
    <x v="10"/>
    <x v="3"/>
    <n v="2000"/>
    <n v="1328.57142857143"/>
    <n v="4428.5714285714303"/>
    <n v="15"/>
    <n v="0.95"/>
    <n v="0.97"/>
    <n v="0.81"/>
    <x v="1"/>
    <x v="0"/>
    <n v="7"/>
    <x v="1"/>
  </r>
  <r>
    <x v="7"/>
    <x v="0"/>
    <n v="2000"/>
    <n v="1328.57142857143"/>
    <n v="4428.5714285714303"/>
    <n v="20"/>
    <n v="0.99"/>
    <n v="0.79"/>
    <n v="0.75"/>
    <x v="1"/>
    <x v="4"/>
    <n v="9"/>
    <x v="2"/>
  </r>
  <r>
    <x v="36"/>
    <x v="0"/>
    <n v="2000"/>
    <n v="1328.57142857143"/>
    <n v="1428.57142857143"/>
    <n v="45"/>
    <n v="0.86"/>
    <n v="0.97"/>
    <n v="0.89"/>
    <x v="3"/>
    <x v="3"/>
    <n v="5"/>
    <x v="0"/>
  </r>
  <r>
    <x v="4"/>
    <x v="3"/>
    <n v="2000"/>
    <n v="1328.57142857143"/>
    <n v="1428.57142857143"/>
    <n v="43"/>
    <n v="0.83"/>
    <n v="0.72"/>
    <n v="0.74"/>
    <x v="2"/>
    <x v="2"/>
    <n v="6"/>
    <x v="3"/>
  </r>
  <r>
    <x v="5"/>
    <x v="2"/>
    <n v="2000"/>
    <n v="1328.57142857143"/>
    <n v="1428.57142857143"/>
    <n v="43"/>
    <n v="0.74"/>
    <n v="0.78"/>
    <n v="0.94"/>
    <x v="1"/>
    <x v="1"/>
    <n v="8"/>
    <x v="3"/>
  </r>
  <r>
    <x v="3"/>
    <x v="1"/>
    <n v="2000"/>
    <n v="1328.57142857143"/>
    <n v="1428.57142857143"/>
    <n v="43"/>
    <n v="0.8"/>
    <n v="0.84"/>
    <n v="0.81"/>
    <x v="0"/>
    <x v="1"/>
    <n v="4"/>
    <x v="2"/>
  </r>
  <r>
    <x v="2"/>
    <x v="1"/>
    <n v="2000"/>
    <n v="1328.57142857143"/>
    <n v="1428.5714285714287"/>
    <n v="43"/>
    <n v="0.89"/>
    <n v="0.99"/>
    <n v="0.97"/>
    <x v="3"/>
    <x v="2"/>
    <n v="3"/>
    <x v="1"/>
  </r>
  <r>
    <x v="22"/>
    <x v="1"/>
    <n v="1800"/>
    <n v="1328.57142857143"/>
    <n v="4428.5714285714303"/>
    <n v="90"/>
    <n v="0.92"/>
    <n v="0.99"/>
    <n v="0.74"/>
    <x v="1"/>
    <x v="1"/>
    <n v="6"/>
    <x v="0"/>
  </r>
  <r>
    <x v="12"/>
    <x v="1"/>
    <n v="1800"/>
    <n v="1328.57142857143"/>
    <n v="4428.5714285714303"/>
    <n v="30"/>
    <n v="0.7"/>
    <n v="0.99"/>
    <n v="0.95"/>
    <x v="1"/>
    <x v="4"/>
    <n v="8"/>
    <x v="0"/>
  </r>
  <r>
    <x v="37"/>
    <x v="1"/>
    <n v="1700"/>
    <n v="2957.1428571428601"/>
    <n v="5857"/>
    <n v="20"/>
    <n v="0.75"/>
    <n v="0.72"/>
    <n v="0.93"/>
    <x v="4"/>
    <x v="1"/>
    <n v="5"/>
    <x v="0"/>
  </r>
  <r>
    <x v="38"/>
    <x v="2"/>
    <n v="1600"/>
    <n v="2957.1428571428601"/>
    <n v="5857"/>
    <n v="15"/>
    <n v="0.79"/>
    <n v="0.79"/>
    <n v="0.77"/>
    <x v="4"/>
    <x v="2"/>
    <n v="9"/>
    <x v="0"/>
  </r>
  <r>
    <x v="39"/>
    <x v="2"/>
    <n v="1431"/>
    <n v="2958"/>
    <n v="5857"/>
    <n v="100"/>
    <n v="0.96"/>
    <n v="0.79"/>
    <n v="0.7"/>
    <x v="4"/>
    <x v="4"/>
    <n v="7"/>
    <x v="0"/>
  </r>
  <r>
    <x v="40"/>
    <x v="0"/>
    <n v="1414"/>
    <n v="2957.1428571428601"/>
    <n v="5857"/>
    <n v="40"/>
    <n v="0.79"/>
    <n v="0.79"/>
    <n v="0.79"/>
    <x v="0"/>
    <x v="2"/>
    <n v="2"/>
    <x v="1"/>
  </r>
  <r>
    <x v="41"/>
    <x v="0"/>
    <n v="1200"/>
    <n v="2957.1428571428601"/>
    <n v="5857"/>
    <n v="15"/>
    <n v="0.82"/>
    <n v="0.8"/>
    <n v="0.76"/>
    <x v="1"/>
    <x v="0"/>
    <n v="3"/>
    <x v="1"/>
  </r>
  <r>
    <x v="8"/>
    <x v="3"/>
    <n v="1000"/>
    <n v="2957.1428571428601"/>
    <n v="5857"/>
    <n v="80"/>
    <n v="0.89"/>
    <n v="0.85"/>
    <n v="0.72"/>
    <x v="3"/>
    <x v="2"/>
    <n v="8"/>
    <x v="2"/>
  </r>
  <r>
    <x v="42"/>
    <x v="2"/>
    <n v="1000"/>
    <n v="2957.1428571428601"/>
    <n v="5857"/>
    <n v="30"/>
    <n v="0.94"/>
    <n v="0.95"/>
    <n v="0.86"/>
    <x v="2"/>
    <x v="1"/>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7827F8-0163-4751-9C48-CDCBE4213753}"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10:I16" firstHeaderRow="1" firstDataRow="1" firstDataCol="1"/>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numFmtId="164" showAll="0"/>
    <pivotField numFmtId="164" showAll="0"/>
    <pivotField numFmtId="164" showAll="0"/>
    <pivotField showAll="0"/>
    <pivotField numFmtId="9" showAll="0"/>
    <pivotField numFmtId="9" showAll="0"/>
    <pivotField numFmtId="9" showAll="0"/>
    <pivotField showAll="0"/>
    <pivotField axis="axisRow" dataField="1"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
    <i>
      <x v="4"/>
    </i>
    <i>
      <x v="2"/>
    </i>
    <i>
      <x v="1"/>
    </i>
    <i>
      <x v="3"/>
    </i>
    <i>
      <x/>
    </i>
    <i t="grand">
      <x/>
    </i>
  </rowItems>
  <colItems count="1">
    <i/>
  </colItems>
  <dataFields count="1">
    <dataField name="Count of Customer Satisfaction" fld="1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480D0-2613-4BB8-AC12-5BB44C44AC82}"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F15" firstHeaderRow="1" firstDataRow="1" firstDataCol="1"/>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numFmtId="164" showAll="0"/>
    <pivotField numFmtId="164" showAll="0"/>
    <pivotField numFmtId="164" showAll="0"/>
    <pivotField dataField="1" showAll="0"/>
    <pivotField numFmtId="9" showAll="0"/>
    <pivotField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No  of Customers" fld="5" baseField="14" baseItem="11"/>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10CFD6-ACB1-411F-8786-9F7257E2F57D}"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5:K6" firstHeaderRow="1" firstDataRow="1" firstDataCol="0"/>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numFmtId="164" showAll="0"/>
    <pivotField numFmtId="164" showAll="0"/>
    <pivotField numFmtId="164" showAll="0"/>
    <pivotField showAll="0"/>
    <pivotField numFmtId="9" showAll="0"/>
    <pivotField dataField="1"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Profit Completion Rate" fld="7"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71F530-0A21-4AAE-9DD4-3B3B6C4AD3D5}"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18:E19" firstHeaderRow="1" firstDataRow="1" firstDataCol="0"/>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dataField="1" numFmtId="164" showAll="0"/>
    <pivotField numFmtId="164" showAll="0"/>
    <pivotField numFmtId="164" showAll="0"/>
    <pivotField showAll="0"/>
    <pivotField numFmtId="9" showAll="0"/>
    <pivotField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Sales"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F74ED-DB58-4ABF-9F1A-5DC69562F4A3}"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8:C23" firstHeaderRow="0" firstDataRow="1" firstDataCol="1"/>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 numFmtId="164" showAll="0"/>
    <pivotField showAll="0"/>
    <pivotField numFmtId="9" showAll="0"/>
    <pivotField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2"/>
    </i>
    <i>
      <x/>
    </i>
    <i>
      <x v="3"/>
    </i>
    <i>
      <x v="1"/>
    </i>
    <i t="grand">
      <x/>
    </i>
  </rowItems>
  <colFields count="1">
    <field x="-2"/>
  </colFields>
  <colItems count="2">
    <i>
      <x/>
    </i>
    <i i="1">
      <x v="1"/>
    </i>
  </colItems>
  <dataFields count="2">
    <dataField name="Sum of Sales" fld="2" baseField="0" baseItem="0" numFmtId="164"/>
    <dataField name="Sum of Profit" fld="3" baseField="0" baseItem="0" numFmtId="164"/>
  </dataFields>
  <chartFormats count="4">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2" format="6">
      <pivotArea type="data" outline="0" fieldPosition="0">
        <references count="2">
          <reference field="4294967294" count="1" selected="0">
            <x v="0"/>
          </reference>
          <reference field="1" count="1" selected="0">
            <x v="0"/>
          </reference>
        </references>
      </pivotArea>
    </chartFormat>
    <chartFormat chart="22" format="7">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A04047-35F0-475C-8861-E26B530DB33D}"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2:I8" firstHeaderRow="1" firstDataRow="1" firstDataCol="1"/>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dataField="1" numFmtId="164" showAll="0"/>
    <pivotField numFmtId="164" showAll="0"/>
    <pivotField numFmtId="164" showAll="0"/>
    <pivotField showAll="0"/>
    <pivotField numFmtId="9" showAll="0"/>
    <pivotField numFmtId="9" showAll="0"/>
    <pivotField numFmtId="9" showAll="0"/>
    <pivotField axis="axisRow" showAll="0">
      <items count="6">
        <item x="3"/>
        <item x="1"/>
        <item x="2"/>
        <item x="0"/>
        <item x="4"/>
        <item t="default"/>
      </items>
    </pivotField>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Items count="1">
    <i/>
  </colItems>
  <dataFields count="1">
    <dataField name="Sum of Sales" fld="2" baseField="0" baseItem="0" numFmtId="164"/>
  </dataField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9" count="1" selected="0">
            <x v="0"/>
          </reference>
        </references>
      </pivotArea>
    </chartFormat>
    <chartFormat chart="12" format="9">
      <pivotArea type="data" outline="0" fieldPosition="0">
        <references count="2">
          <reference field="4294967294" count="1" selected="0">
            <x v="0"/>
          </reference>
          <reference field="9" count="1" selected="0">
            <x v="1"/>
          </reference>
        </references>
      </pivotArea>
    </chartFormat>
    <chartFormat chart="12" format="10">
      <pivotArea type="data" outline="0" fieldPosition="0">
        <references count="2">
          <reference field="4294967294" count="1" selected="0">
            <x v="0"/>
          </reference>
          <reference field="9" count="1" selected="0">
            <x v="2"/>
          </reference>
        </references>
      </pivotArea>
    </chartFormat>
    <chartFormat chart="12" format="11">
      <pivotArea type="data" outline="0" fieldPosition="0">
        <references count="2">
          <reference field="4294967294" count="1" selected="0">
            <x v="0"/>
          </reference>
          <reference field="9" count="1" selected="0">
            <x v="3"/>
          </reference>
        </references>
      </pivotArea>
    </chartFormat>
    <chartFormat chart="12"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A2CDAD-FED1-42C6-A47E-2D55777190F5}"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21:E22" firstHeaderRow="1" firstDataRow="1" firstDataCol="0"/>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numFmtId="164" showAll="0"/>
    <pivotField dataField="1" numFmtId="164" showAll="0"/>
    <pivotField numFmtId="164" showAll="0"/>
    <pivotField showAll="0"/>
    <pivotField numFmtId="9" showAll="0"/>
    <pivotField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315E8A-519C-4BE4-B2ED-98E4AB9D1B8A}"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24:E25" firstHeaderRow="1" firstDataRow="1" firstDataCol="0"/>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numFmtId="164" showAll="0"/>
    <pivotField numFmtId="164" showAll="0"/>
    <pivotField dataField="1" numFmtId="164" showAll="0"/>
    <pivotField showAll="0"/>
    <pivotField numFmtId="9" showAll="0"/>
    <pivotField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arget Sales"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D47D60-28E2-43C8-B739-EAF73C3FCEEF}"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K3" firstHeaderRow="1" firstDataRow="1" firstDataCol="0"/>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numFmtId="164" showAll="0"/>
    <pivotField numFmtId="164" showAll="0"/>
    <pivotField numFmtId="164" showAll="0"/>
    <pivotField showAll="0"/>
    <pivotField dataField="1" numFmtId="9" showAll="0"/>
    <pivotField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Sales Completion Rate"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7F6F01-79B4-4518-97CE-2A25B98C2D23}"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C15" firstHeaderRow="0" firstDataRow="1" firstDataCol="1"/>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dataField="1" numFmtId="164" showAll="0"/>
    <pivotField numFmtId="164" showAll="0"/>
    <pivotField dataField="1" numFmtId="164" showAll="0"/>
    <pivotField showAll="0"/>
    <pivotField numFmtId="9" showAll="0"/>
    <pivotField numFmtId="9" showAll="0"/>
    <pivotField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 fld="2" baseField="14" baseItem="0" numFmtId="164"/>
    <dataField name="Target Sales " fld="4" baseField="14"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B2789B-B5B4-430F-A0A8-CAB38B4049AC}"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9:K10" firstHeaderRow="1" firstDataRow="1" firstDataCol="0"/>
  <pivotFields count="15">
    <pivotField numFmtId="14" showAll="0">
      <items count="44">
        <item x="6"/>
        <item x="18"/>
        <item x="19"/>
        <item x="20"/>
        <item x="21"/>
        <item x="32"/>
        <item x="42"/>
        <item x="41"/>
        <item x="40"/>
        <item x="2"/>
        <item x="10"/>
        <item x="28"/>
        <item x="31"/>
        <item x="16"/>
        <item x="13"/>
        <item x="7"/>
        <item x="15"/>
        <item x="8"/>
        <item x="3"/>
        <item x="35"/>
        <item x="25"/>
        <item x="24"/>
        <item x="34"/>
        <item x="30"/>
        <item x="33"/>
        <item x="5"/>
        <item x="4"/>
        <item x="26"/>
        <item x="0"/>
        <item x="36"/>
        <item x="9"/>
        <item x="17"/>
        <item x="27"/>
        <item x="39"/>
        <item x="38"/>
        <item x="37"/>
        <item x="22"/>
        <item x="12"/>
        <item x="11"/>
        <item x="23"/>
        <item x="1"/>
        <item x="14"/>
        <item x="29"/>
        <item t="default"/>
      </items>
    </pivotField>
    <pivotField showAll="0">
      <items count="5">
        <item x="3"/>
        <item x="1"/>
        <item x="0"/>
        <item x="2"/>
        <item t="default"/>
      </items>
    </pivotField>
    <pivotField numFmtId="164" showAll="0"/>
    <pivotField numFmtId="164" showAll="0"/>
    <pivotField numFmtId="164" showAll="0"/>
    <pivotField showAll="0"/>
    <pivotField numFmtId="9" showAll="0"/>
    <pivotField numFmtId="9" showAll="0"/>
    <pivotField dataField="1" numFmtId="9" showAll="0"/>
    <pivotField showAll="0"/>
    <pivotField showAll="0"/>
    <pivotField showAll="0"/>
    <pivotField showAll="0">
      <items count="9">
        <item x="1"/>
        <item x="0"/>
        <item m="1" x="5"/>
        <item m="1" x="4"/>
        <item m="1" x="7"/>
        <item m="1" x="6"/>
        <item x="2"/>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Customer Completion Rate" fld="8"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B67C81-D8BA-4281-AB4A-B15E588FC90F}" sourceName="Region">
  <pivotTables>
    <pivotTable tabId="2" name="PivotTable1"/>
    <pivotTable tabId="2" name="PivotTable9"/>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s>
  <data>
    <tabular pivotCacheId="20460876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A86363A5-D229-42B0-84E9-D84605082CD1}" sourceName="Quarters">
  <pivotTables>
    <pivotTable tabId="2" name="PivotTable1"/>
    <pivotTable tabId="2" name="PivotTable9"/>
    <pivotTable tabId="2" name="PivotTable10"/>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s>
  <data>
    <tabular pivotCacheId="2046087648">
      <items count="8">
        <i x="1" s="1"/>
        <i x="0" s="1"/>
        <i x="2" s="1"/>
        <i x="3" s="1"/>
        <i x="5" s="1" nd="1"/>
        <i x="4" s="1" nd="1"/>
        <i x="7"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4FD87B-92EA-4FD3-97F8-07633A8921CB}" cache="Slicer_Region" caption="Region" style="SlicerStyleOther2" rowHeight="247650"/>
  <slicer name="Quarters" xr10:uid="{FC7FB187-A0CE-4258-8BC6-1DA6A230F65D}" cache="Slicer_Quarters" caption="Quarters"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EBB-4236-4385-B112-7436EAEB5F65}">
  <dimension ref="A1:M63"/>
  <sheetViews>
    <sheetView tabSelected="1" workbookViewId="0">
      <selection activeCell="I3" sqref="I3"/>
    </sheetView>
  </sheetViews>
  <sheetFormatPr defaultRowHeight="14.4" x14ac:dyDescent="0.3"/>
  <cols>
    <col min="1" max="1" width="10.33203125" style="1" bestFit="1" customWidth="1"/>
    <col min="2" max="2" width="6.5546875" bestFit="1" customWidth="1"/>
    <col min="3" max="4" width="6.21875" bestFit="1" customWidth="1"/>
    <col min="5" max="5" width="11" bestFit="1" customWidth="1"/>
    <col min="6" max="6" width="14.6640625" bestFit="1" customWidth="1"/>
    <col min="7" max="8" width="20" style="6" bestFit="1" customWidth="1"/>
    <col min="9" max="9" width="23.6640625" style="6" bestFit="1" customWidth="1"/>
    <col min="10" max="10" width="8.6640625" bestFit="1" customWidth="1"/>
    <col min="11" max="11" width="19.6640625" bestFit="1" customWidth="1"/>
    <col min="12" max="12" width="5.77734375" bestFit="1" customWidth="1"/>
    <col min="13" max="13" width="13.6640625" bestFit="1" customWidth="1"/>
  </cols>
  <sheetData>
    <row r="1" spans="1:13" x14ac:dyDescent="0.3">
      <c r="A1" s="2" t="s">
        <v>0</v>
      </c>
      <c r="B1" s="3" t="s">
        <v>1</v>
      </c>
      <c r="C1" s="3" t="s">
        <v>2</v>
      </c>
      <c r="D1" s="3" t="s">
        <v>3</v>
      </c>
      <c r="E1" s="3" t="s">
        <v>4</v>
      </c>
      <c r="F1" s="3" t="s">
        <v>5</v>
      </c>
      <c r="G1" s="5" t="s">
        <v>6</v>
      </c>
      <c r="H1" s="5" t="s">
        <v>7</v>
      </c>
      <c r="I1" s="5" t="s">
        <v>8</v>
      </c>
      <c r="J1" s="3" t="s">
        <v>9</v>
      </c>
      <c r="K1" s="3" t="s">
        <v>10</v>
      </c>
      <c r="L1" s="3" t="s">
        <v>11</v>
      </c>
      <c r="M1" s="3" t="s">
        <v>26</v>
      </c>
    </row>
    <row r="2" spans="1:13" x14ac:dyDescent="0.3">
      <c r="A2" s="1">
        <v>45213</v>
      </c>
      <c r="B2" t="s">
        <v>18</v>
      </c>
      <c r="C2" s="4">
        <v>6500</v>
      </c>
      <c r="D2" s="4">
        <v>385.71428571428601</v>
      </c>
      <c r="E2" s="4">
        <v>285.71428571428572</v>
      </c>
      <c r="F2">
        <v>285</v>
      </c>
      <c r="G2" s="6">
        <v>0.78</v>
      </c>
      <c r="H2" s="6">
        <v>0.8</v>
      </c>
      <c r="I2" s="6">
        <v>0.85</v>
      </c>
      <c r="J2" t="s">
        <v>21</v>
      </c>
      <c r="K2" t="s">
        <v>20</v>
      </c>
      <c r="L2">
        <v>5</v>
      </c>
      <c r="M2" t="s">
        <v>29</v>
      </c>
    </row>
    <row r="3" spans="1:13" x14ac:dyDescent="0.3">
      <c r="A3" s="1">
        <v>45257</v>
      </c>
      <c r="B3" t="s">
        <v>24</v>
      </c>
      <c r="C3" s="4">
        <v>6000</v>
      </c>
      <c r="D3" s="4">
        <v>385.71428571428601</v>
      </c>
      <c r="E3" s="4">
        <v>285.71428571428572</v>
      </c>
      <c r="F3">
        <v>270</v>
      </c>
      <c r="G3" s="6">
        <v>0.77</v>
      </c>
      <c r="H3" s="6">
        <v>0.96</v>
      </c>
      <c r="I3" s="6">
        <v>0.78</v>
      </c>
      <c r="J3" t="s">
        <v>19</v>
      </c>
      <c r="K3" t="s">
        <v>17</v>
      </c>
      <c r="L3">
        <v>9</v>
      </c>
      <c r="M3" t="s">
        <v>29</v>
      </c>
    </row>
    <row r="4" spans="1:13" x14ac:dyDescent="0.3">
      <c r="A4" s="1">
        <v>44986</v>
      </c>
      <c r="B4" t="s">
        <v>15</v>
      </c>
      <c r="C4" s="4">
        <v>5500</v>
      </c>
      <c r="D4" s="4">
        <v>385.71428571428601</v>
      </c>
      <c r="E4" s="4">
        <v>285.71428571428572</v>
      </c>
      <c r="F4">
        <v>310</v>
      </c>
      <c r="G4" s="6">
        <v>0.77</v>
      </c>
      <c r="H4" s="6">
        <v>0.72</v>
      </c>
      <c r="I4" s="6">
        <v>0.85</v>
      </c>
      <c r="J4" t="s">
        <v>16</v>
      </c>
      <c r="K4" t="s">
        <v>14</v>
      </c>
      <c r="L4">
        <v>7</v>
      </c>
      <c r="M4" t="s">
        <v>30</v>
      </c>
    </row>
    <row r="5" spans="1:13" x14ac:dyDescent="0.3">
      <c r="A5" s="1">
        <v>45078</v>
      </c>
      <c r="B5" t="s">
        <v>18</v>
      </c>
      <c r="C5" s="4">
        <v>4500</v>
      </c>
      <c r="D5" s="4">
        <v>385.71428571428601</v>
      </c>
      <c r="E5" s="4">
        <v>285.71428571428572</v>
      </c>
      <c r="F5">
        <v>290</v>
      </c>
      <c r="G5" s="6">
        <v>0.99</v>
      </c>
      <c r="H5" s="6">
        <v>0.97</v>
      </c>
      <c r="I5" s="6">
        <v>0.73</v>
      </c>
      <c r="J5" t="s">
        <v>13</v>
      </c>
      <c r="K5" t="s">
        <v>25</v>
      </c>
      <c r="L5">
        <v>2</v>
      </c>
      <c r="M5" t="s">
        <v>27</v>
      </c>
    </row>
    <row r="6" spans="1:13" x14ac:dyDescent="0.3">
      <c r="A6" s="1">
        <v>45160</v>
      </c>
      <c r="B6" t="s">
        <v>15</v>
      </c>
      <c r="C6" s="4">
        <v>4000</v>
      </c>
      <c r="D6" s="4">
        <v>385.71428571428601</v>
      </c>
      <c r="E6" s="4">
        <v>285.71428571428572</v>
      </c>
      <c r="F6">
        <v>275</v>
      </c>
      <c r="G6" s="6">
        <v>0.86</v>
      </c>
      <c r="H6" s="6">
        <v>0.75</v>
      </c>
      <c r="I6" s="6">
        <v>0.96</v>
      </c>
      <c r="J6" t="s">
        <v>19</v>
      </c>
      <c r="K6" t="s">
        <v>20</v>
      </c>
      <c r="L6">
        <v>4</v>
      </c>
      <c r="M6" t="s">
        <v>28</v>
      </c>
    </row>
    <row r="7" spans="1:13" x14ac:dyDescent="0.3">
      <c r="A7" s="1">
        <v>45147</v>
      </c>
      <c r="B7" t="s">
        <v>24</v>
      </c>
      <c r="C7" s="4">
        <v>4000</v>
      </c>
      <c r="D7" s="4">
        <v>385.71428571428601</v>
      </c>
      <c r="E7" s="4">
        <v>285.71428571428572</v>
      </c>
      <c r="F7">
        <v>285</v>
      </c>
      <c r="G7" s="6">
        <v>0.96</v>
      </c>
      <c r="H7" s="6">
        <v>0.77</v>
      </c>
      <c r="I7" s="6">
        <v>0.92</v>
      </c>
      <c r="J7" t="s">
        <v>21</v>
      </c>
      <c r="K7" t="s">
        <v>23</v>
      </c>
      <c r="L7">
        <v>3</v>
      </c>
      <c r="M7" t="s">
        <v>28</v>
      </c>
    </row>
    <row r="8" spans="1:13" x14ac:dyDescent="0.3">
      <c r="A8" s="1">
        <v>44945</v>
      </c>
      <c r="B8" t="s">
        <v>18</v>
      </c>
      <c r="C8" s="4">
        <v>3944</v>
      </c>
      <c r="D8" s="4">
        <v>385.71428571428601</v>
      </c>
      <c r="E8" s="4">
        <v>285.71428571428572</v>
      </c>
      <c r="F8">
        <v>285</v>
      </c>
      <c r="G8" s="6">
        <v>0.85</v>
      </c>
      <c r="H8" s="6">
        <v>0.91</v>
      </c>
      <c r="I8" s="6">
        <v>0.84</v>
      </c>
      <c r="J8" t="s">
        <v>13</v>
      </c>
      <c r="K8" t="s">
        <v>17</v>
      </c>
      <c r="L8">
        <v>8</v>
      </c>
      <c r="M8" t="s">
        <v>30</v>
      </c>
    </row>
    <row r="9" spans="1:13" x14ac:dyDescent="0.3">
      <c r="A9" s="1">
        <v>45044</v>
      </c>
      <c r="B9" t="s">
        <v>18</v>
      </c>
      <c r="C9" s="4">
        <v>3293</v>
      </c>
      <c r="D9" s="4">
        <v>914.28571428571399</v>
      </c>
      <c r="E9" s="4">
        <v>714.28571428571433</v>
      </c>
      <c r="F9">
        <v>242</v>
      </c>
      <c r="G9" s="6">
        <v>0.84</v>
      </c>
      <c r="H9" s="6">
        <v>0.79</v>
      </c>
      <c r="I9" s="6">
        <v>0.8</v>
      </c>
      <c r="J9" t="s">
        <v>21</v>
      </c>
      <c r="K9" t="s">
        <v>14</v>
      </c>
      <c r="L9">
        <v>6</v>
      </c>
      <c r="M9" t="s">
        <v>27</v>
      </c>
    </row>
    <row r="10" spans="1:13" x14ac:dyDescent="0.3">
      <c r="A10" s="1">
        <v>45060</v>
      </c>
      <c r="B10" t="s">
        <v>12</v>
      </c>
      <c r="C10" s="4">
        <v>3000</v>
      </c>
      <c r="D10" s="4">
        <v>914.28571428571399</v>
      </c>
      <c r="E10" s="4">
        <v>714.28571428571433</v>
      </c>
      <c r="F10">
        <v>242</v>
      </c>
      <c r="G10" s="6">
        <v>0.81</v>
      </c>
      <c r="H10" s="6">
        <v>0.92</v>
      </c>
      <c r="I10" s="6">
        <v>0.91</v>
      </c>
      <c r="J10" t="s">
        <v>13</v>
      </c>
      <c r="K10" t="s">
        <v>20</v>
      </c>
      <c r="L10">
        <v>7</v>
      </c>
      <c r="M10" t="s">
        <v>27</v>
      </c>
    </row>
    <row r="11" spans="1:13" x14ac:dyDescent="0.3">
      <c r="A11" s="1">
        <v>45225</v>
      </c>
      <c r="B11" t="s">
        <v>18</v>
      </c>
      <c r="C11" s="4">
        <v>3000</v>
      </c>
      <c r="D11" s="4">
        <v>914.28571428571399</v>
      </c>
      <c r="E11" s="4">
        <v>714.28571428571433</v>
      </c>
      <c r="F11">
        <v>242</v>
      </c>
      <c r="G11" s="6">
        <v>0.84</v>
      </c>
      <c r="H11" s="6">
        <v>0.73</v>
      </c>
      <c r="I11" s="6">
        <v>0.99</v>
      </c>
      <c r="J11" t="s">
        <v>16</v>
      </c>
      <c r="K11" t="s">
        <v>23</v>
      </c>
      <c r="L11">
        <v>9</v>
      </c>
      <c r="M11" t="s">
        <v>29</v>
      </c>
    </row>
    <row r="12" spans="1:13" x14ac:dyDescent="0.3">
      <c r="A12" s="1">
        <v>44995</v>
      </c>
      <c r="B12" t="s">
        <v>18</v>
      </c>
      <c r="C12" s="4">
        <v>3000</v>
      </c>
      <c r="D12" s="4">
        <v>914.28571428571399</v>
      </c>
      <c r="E12" s="4">
        <v>714.28571428571433</v>
      </c>
      <c r="F12">
        <v>240</v>
      </c>
      <c r="G12" s="6">
        <v>0.93</v>
      </c>
      <c r="H12" s="6">
        <v>0.79</v>
      </c>
      <c r="I12" s="6">
        <v>0.72</v>
      </c>
      <c r="J12" t="s">
        <v>19</v>
      </c>
      <c r="K12" t="s">
        <v>25</v>
      </c>
      <c r="L12">
        <v>5</v>
      </c>
      <c r="M12" t="s">
        <v>30</v>
      </c>
    </row>
    <row r="13" spans="1:13" x14ac:dyDescent="0.3">
      <c r="A13" s="1">
        <v>45233</v>
      </c>
      <c r="B13" t="s">
        <v>12</v>
      </c>
      <c r="C13" s="4">
        <v>2980</v>
      </c>
      <c r="D13" s="4">
        <v>914.28571428571399</v>
      </c>
      <c r="E13" s="4">
        <v>714.28571428571433</v>
      </c>
      <c r="F13">
        <v>242</v>
      </c>
      <c r="G13" s="6">
        <v>0.88</v>
      </c>
      <c r="H13" s="6">
        <v>0.84</v>
      </c>
      <c r="I13" s="6">
        <v>0.75</v>
      </c>
      <c r="J13" t="s">
        <v>21</v>
      </c>
      <c r="K13" t="s">
        <v>17</v>
      </c>
      <c r="L13">
        <v>2</v>
      </c>
      <c r="M13" t="s">
        <v>29</v>
      </c>
    </row>
    <row r="14" spans="1:13" x14ac:dyDescent="0.3">
      <c r="A14" s="1">
        <v>45232</v>
      </c>
      <c r="B14" t="s">
        <v>12</v>
      </c>
      <c r="C14" s="4">
        <v>2581</v>
      </c>
      <c r="D14" s="4">
        <v>914.28571428571399</v>
      </c>
      <c r="E14" s="4">
        <v>714.28571428571433</v>
      </c>
      <c r="F14">
        <v>250</v>
      </c>
      <c r="G14" s="6">
        <v>0.85</v>
      </c>
      <c r="H14" s="6">
        <v>0.82</v>
      </c>
      <c r="I14" s="6">
        <v>0.73</v>
      </c>
      <c r="J14" t="s">
        <v>19</v>
      </c>
      <c r="K14" t="s">
        <v>14</v>
      </c>
      <c r="L14">
        <v>3</v>
      </c>
      <c r="M14" t="s">
        <v>29</v>
      </c>
    </row>
    <row r="15" spans="1:13" x14ac:dyDescent="0.3">
      <c r="A15" s="1">
        <v>45030</v>
      </c>
      <c r="B15" t="s">
        <v>15</v>
      </c>
      <c r="C15" s="4">
        <v>2500</v>
      </c>
      <c r="D15" s="4">
        <v>757.142857142857</v>
      </c>
      <c r="E15" s="4">
        <v>857.14285714285711</v>
      </c>
      <c r="F15">
        <v>220</v>
      </c>
      <c r="G15" s="6">
        <v>0.81</v>
      </c>
      <c r="H15" s="6">
        <v>0.98</v>
      </c>
      <c r="I15" s="6">
        <v>0.86</v>
      </c>
      <c r="J15" t="s">
        <v>19</v>
      </c>
      <c r="K15" t="s">
        <v>17</v>
      </c>
      <c r="L15">
        <v>7</v>
      </c>
      <c r="M15" t="s">
        <v>27</v>
      </c>
    </row>
    <row r="16" spans="1:13" x14ac:dyDescent="0.3">
      <c r="A16" s="1">
        <v>45266</v>
      </c>
      <c r="B16" t="s">
        <v>24</v>
      </c>
      <c r="C16" s="4">
        <v>2500</v>
      </c>
      <c r="D16" s="4">
        <v>757.142857142857</v>
      </c>
      <c r="E16" s="4">
        <v>857.14285714285711</v>
      </c>
      <c r="F16">
        <v>228</v>
      </c>
      <c r="G16" s="6">
        <v>0.86</v>
      </c>
      <c r="H16" s="6">
        <v>0.82</v>
      </c>
      <c r="I16" s="6">
        <v>0.86</v>
      </c>
      <c r="J16" t="s">
        <v>21</v>
      </c>
      <c r="K16" t="s">
        <v>20</v>
      </c>
      <c r="L16">
        <v>9</v>
      </c>
      <c r="M16" t="s">
        <v>29</v>
      </c>
    </row>
    <row r="17" spans="1:13" x14ac:dyDescent="0.3">
      <c r="A17" s="1">
        <v>45054</v>
      </c>
      <c r="B17" t="s">
        <v>12</v>
      </c>
      <c r="C17" s="4">
        <v>2500</v>
      </c>
      <c r="D17" s="4">
        <v>757.142857142857</v>
      </c>
      <c r="E17" s="4">
        <v>857.14285714285711</v>
      </c>
      <c r="F17">
        <v>238</v>
      </c>
      <c r="G17" s="6">
        <v>0.72</v>
      </c>
      <c r="H17" s="6">
        <v>0.95</v>
      </c>
      <c r="I17" s="6">
        <v>0.9</v>
      </c>
      <c r="J17" t="s">
        <v>22</v>
      </c>
      <c r="K17" t="s">
        <v>23</v>
      </c>
      <c r="L17">
        <v>5</v>
      </c>
      <c r="M17" t="s">
        <v>27</v>
      </c>
    </row>
    <row r="18" spans="1:13" x14ac:dyDescent="0.3">
      <c r="A18" s="1">
        <v>45019</v>
      </c>
      <c r="B18" t="s">
        <v>18</v>
      </c>
      <c r="C18" s="4">
        <v>2500</v>
      </c>
      <c r="D18" s="4">
        <v>757.142857142857</v>
      </c>
      <c r="E18" s="4">
        <v>857.14285714285711</v>
      </c>
      <c r="F18">
        <v>228</v>
      </c>
      <c r="G18" s="6">
        <v>0.71</v>
      </c>
      <c r="H18" s="6">
        <v>0.8</v>
      </c>
      <c r="I18" s="6">
        <v>0.76</v>
      </c>
      <c r="J18" t="s">
        <v>22</v>
      </c>
      <c r="K18" t="s">
        <v>25</v>
      </c>
      <c r="L18">
        <v>5</v>
      </c>
      <c r="M18" t="s">
        <v>30</v>
      </c>
    </row>
    <row r="19" spans="1:13" x14ac:dyDescent="0.3">
      <c r="A19" s="1">
        <v>45078</v>
      </c>
      <c r="B19" t="s">
        <v>18</v>
      </c>
      <c r="C19" s="4">
        <v>2500</v>
      </c>
      <c r="D19" s="4">
        <v>757.142857142857</v>
      </c>
      <c r="E19" s="4">
        <v>857.14285714285711</v>
      </c>
      <c r="F19">
        <v>230</v>
      </c>
      <c r="G19" s="6">
        <v>0.97</v>
      </c>
      <c r="H19" s="6">
        <v>0.95</v>
      </c>
      <c r="I19" s="6">
        <v>0.85</v>
      </c>
      <c r="J19" t="s">
        <v>22</v>
      </c>
      <c r="K19" t="s">
        <v>14</v>
      </c>
      <c r="L19">
        <v>8</v>
      </c>
      <c r="M19" t="s">
        <v>27</v>
      </c>
    </row>
    <row r="20" spans="1:13" x14ac:dyDescent="0.3">
      <c r="A20" s="1">
        <v>45233</v>
      </c>
      <c r="B20" t="s">
        <v>24</v>
      </c>
      <c r="C20" s="4">
        <v>2500</v>
      </c>
      <c r="D20" s="4">
        <v>757.142857142857</v>
      </c>
      <c r="E20" s="4">
        <v>857.14285714285711</v>
      </c>
      <c r="F20">
        <v>228</v>
      </c>
      <c r="G20" s="6">
        <v>0.95</v>
      </c>
      <c r="H20" s="6">
        <v>0.85</v>
      </c>
      <c r="I20" s="6">
        <v>0.91</v>
      </c>
      <c r="J20" t="s">
        <v>19</v>
      </c>
      <c r="K20" t="s">
        <v>17</v>
      </c>
      <c r="L20">
        <v>4</v>
      </c>
      <c r="M20" t="s">
        <v>29</v>
      </c>
    </row>
    <row r="21" spans="1:13" x14ac:dyDescent="0.3">
      <c r="A21" s="1">
        <v>45060</v>
      </c>
      <c r="B21" t="s">
        <v>12</v>
      </c>
      <c r="C21" s="4">
        <v>2500</v>
      </c>
      <c r="D21" s="4">
        <v>914.28571428571399</v>
      </c>
      <c r="E21" s="4">
        <v>714.28571428571433</v>
      </c>
      <c r="F21">
        <v>250</v>
      </c>
      <c r="G21" s="6">
        <v>0.97</v>
      </c>
      <c r="H21" s="6">
        <v>0.7</v>
      </c>
      <c r="I21" s="6">
        <v>0.93</v>
      </c>
      <c r="J21" t="s">
        <v>19</v>
      </c>
      <c r="K21" t="s">
        <v>20</v>
      </c>
      <c r="L21">
        <v>3</v>
      </c>
      <c r="M21" t="s">
        <v>27</v>
      </c>
    </row>
    <row r="22" spans="1:13" x14ac:dyDescent="0.3">
      <c r="A22" s="1">
        <v>45225</v>
      </c>
      <c r="B22" t="s">
        <v>18</v>
      </c>
      <c r="C22" s="4">
        <v>2500</v>
      </c>
      <c r="D22" s="4">
        <v>914.28571428571399</v>
      </c>
      <c r="E22" s="4">
        <v>714.28571428571433</v>
      </c>
      <c r="F22">
        <v>240</v>
      </c>
      <c r="G22" s="6">
        <v>0.9</v>
      </c>
      <c r="H22" s="6">
        <v>0.98</v>
      </c>
      <c r="I22" s="6">
        <v>0.96</v>
      </c>
      <c r="J22" t="s">
        <v>19</v>
      </c>
      <c r="K22" t="s">
        <v>23</v>
      </c>
      <c r="L22">
        <v>2</v>
      </c>
      <c r="M22" t="s">
        <v>29</v>
      </c>
    </row>
    <row r="23" spans="1:13" x14ac:dyDescent="0.3">
      <c r="A23" s="1">
        <v>45226</v>
      </c>
      <c r="B23" t="s">
        <v>12</v>
      </c>
      <c r="C23" s="4">
        <v>2500</v>
      </c>
      <c r="D23" s="4">
        <v>914.28571428571399</v>
      </c>
      <c r="E23" s="4">
        <v>714.28571428571433</v>
      </c>
      <c r="F23">
        <v>270</v>
      </c>
      <c r="G23" s="6">
        <v>0.9</v>
      </c>
      <c r="H23" s="6">
        <v>0.95</v>
      </c>
      <c r="I23" s="6">
        <v>0.98</v>
      </c>
      <c r="J23" t="s">
        <v>19</v>
      </c>
      <c r="K23" t="s">
        <v>25</v>
      </c>
      <c r="L23">
        <v>3</v>
      </c>
      <c r="M23" t="s">
        <v>29</v>
      </c>
    </row>
    <row r="24" spans="1:13" x14ac:dyDescent="0.3">
      <c r="A24" s="1">
        <v>44954</v>
      </c>
      <c r="B24" t="s">
        <v>15</v>
      </c>
      <c r="C24" s="4">
        <v>2500</v>
      </c>
      <c r="D24" s="4">
        <v>914.28571428571399</v>
      </c>
      <c r="E24" s="4">
        <v>714.28571428571433</v>
      </c>
      <c r="F24">
        <v>259</v>
      </c>
      <c r="G24" s="6">
        <v>0.96</v>
      </c>
      <c r="H24" s="6">
        <v>0.81</v>
      </c>
      <c r="I24" s="6">
        <v>0.85</v>
      </c>
      <c r="J24" t="s">
        <v>19</v>
      </c>
      <c r="K24" t="s">
        <v>14</v>
      </c>
      <c r="L24">
        <v>9</v>
      </c>
      <c r="M24" t="s">
        <v>30</v>
      </c>
    </row>
    <row r="25" spans="1:13" x14ac:dyDescent="0.3">
      <c r="A25" s="1">
        <v>44955</v>
      </c>
      <c r="B25" t="s">
        <v>15</v>
      </c>
      <c r="C25" s="4">
        <v>2500</v>
      </c>
      <c r="D25" s="4">
        <v>914.28571428571399</v>
      </c>
      <c r="E25" s="4">
        <v>714.28571428571433</v>
      </c>
      <c r="F25">
        <v>260</v>
      </c>
      <c r="G25" s="6">
        <v>0.98</v>
      </c>
      <c r="H25" s="6">
        <v>0.84</v>
      </c>
      <c r="I25" s="6">
        <v>0.89</v>
      </c>
      <c r="J25" t="s">
        <v>19</v>
      </c>
      <c r="K25" t="s">
        <v>14</v>
      </c>
      <c r="L25">
        <v>5</v>
      </c>
      <c r="M25" t="s">
        <v>30</v>
      </c>
    </row>
    <row r="26" spans="1:13" x14ac:dyDescent="0.3">
      <c r="A26" s="1">
        <v>44956</v>
      </c>
      <c r="B26" t="s">
        <v>15</v>
      </c>
      <c r="C26" s="4">
        <v>2500</v>
      </c>
      <c r="D26" s="4">
        <v>914.28571428571399</v>
      </c>
      <c r="E26" s="4">
        <v>714.28571428571433</v>
      </c>
      <c r="F26">
        <v>260</v>
      </c>
      <c r="G26" s="6">
        <v>0.76</v>
      </c>
      <c r="H26" s="6">
        <v>0.7</v>
      </c>
      <c r="I26" s="6">
        <v>0.86</v>
      </c>
      <c r="J26" t="s">
        <v>19</v>
      </c>
      <c r="K26" t="s">
        <v>20</v>
      </c>
      <c r="L26">
        <v>6</v>
      </c>
      <c r="M26" t="s">
        <v>30</v>
      </c>
    </row>
    <row r="27" spans="1:13" x14ac:dyDescent="0.3">
      <c r="A27" s="1">
        <v>44957</v>
      </c>
      <c r="B27" t="s">
        <v>12</v>
      </c>
      <c r="C27" s="4">
        <v>2500</v>
      </c>
      <c r="D27" s="4">
        <v>914.28571428571399</v>
      </c>
      <c r="E27" s="4">
        <v>714.28571428571433</v>
      </c>
      <c r="F27">
        <v>261</v>
      </c>
      <c r="G27" s="6">
        <v>0.91</v>
      </c>
      <c r="H27" s="6">
        <v>0.77</v>
      </c>
      <c r="I27" s="6">
        <v>0.75</v>
      </c>
      <c r="J27" t="s">
        <v>13</v>
      </c>
      <c r="K27" t="s">
        <v>23</v>
      </c>
      <c r="L27">
        <v>8</v>
      </c>
      <c r="M27" t="s">
        <v>30</v>
      </c>
    </row>
    <row r="28" spans="1:13" x14ac:dyDescent="0.3">
      <c r="A28" s="1">
        <v>45231</v>
      </c>
      <c r="B28" t="s">
        <v>12</v>
      </c>
      <c r="C28" s="4">
        <v>2500</v>
      </c>
      <c r="D28" s="4">
        <v>914.28571428571399</v>
      </c>
      <c r="E28" s="4">
        <v>714.28571428571433</v>
      </c>
      <c r="F28">
        <v>242</v>
      </c>
      <c r="G28" s="6">
        <v>0.79</v>
      </c>
      <c r="H28" s="6">
        <v>0.81</v>
      </c>
      <c r="I28" s="6">
        <v>0.74</v>
      </c>
      <c r="J28" t="s">
        <v>16</v>
      </c>
      <c r="K28" t="s">
        <v>25</v>
      </c>
      <c r="L28">
        <v>4</v>
      </c>
      <c r="M28" t="s">
        <v>29</v>
      </c>
    </row>
    <row r="29" spans="1:13" x14ac:dyDescent="0.3">
      <c r="A29" s="1">
        <v>45243</v>
      </c>
      <c r="B29" t="s">
        <v>18</v>
      </c>
      <c r="C29" s="4">
        <v>2450</v>
      </c>
      <c r="D29" s="4">
        <v>2957.1428571428601</v>
      </c>
      <c r="E29" s="4">
        <v>2857.1428571428573</v>
      </c>
      <c r="F29">
        <v>90</v>
      </c>
      <c r="G29" s="6">
        <v>0.77</v>
      </c>
      <c r="H29" s="6">
        <v>0.97</v>
      </c>
      <c r="I29" s="6">
        <v>0.78</v>
      </c>
      <c r="J29" t="s">
        <v>13</v>
      </c>
      <c r="K29" t="s">
        <v>25</v>
      </c>
      <c r="L29">
        <v>3</v>
      </c>
      <c r="M29" t="s">
        <v>29</v>
      </c>
    </row>
    <row r="30" spans="1:13" x14ac:dyDescent="0.3">
      <c r="A30" s="1">
        <v>45107</v>
      </c>
      <c r="B30" t="s">
        <v>18</v>
      </c>
      <c r="C30" s="4">
        <v>2450</v>
      </c>
      <c r="D30" s="4">
        <v>757.142857142857</v>
      </c>
      <c r="E30" s="4">
        <v>857.14285714285711</v>
      </c>
      <c r="F30">
        <v>228</v>
      </c>
      <c r="G30" s="6">
        <v>0.79</v>
      </c>
      <c r="H30" s="6">
        <v>0.75</v>
      </c>
      <c r="I30" s="6">
        <v>0.93</v>
      </c>
      <c r="J30" t="s">
        <v>16</v>
      </c>
      <c r="K30" t="s">
        <v>14</v>
      </c>
      <c r="L30">
        <v>2</v>
      </c>
      <c r="M30" t="s">
        <v>27</v>
      </c>
    </row>
    <row r="31" spans="1:13" x14ac:dyDescent="0.3">
      <c r="A31" s="1">
        <v>45103</v>
      </c>
      <c r="B31" t="s">
        <v>18</v>
      </c>
      <c r="C31" s="4">
        <v>2440</v>
      </c>
      <c r="D31" s="4">
        <v>2957.1428571428601</v>
      </c>
      <c r="E31" s="4">
        <v>2857.1428571428573</v>
      </c>
      <c r="F31">
        <v>100</v>
      </c>
      <c r="G31" s="6">
        <v>0.75</v>
      </c>
      <c r="H31" s="6">
        <v>0.97</v>
      </c>
      <c r="I31" s="6">
        <v>0.83</v>
      </c>
      <c r="J31" t="s">
        <v>16</v>
      </c>
      <c r="K31" t="s">
        <v>23</v>
      </c>
      <c r="L31">
        <v>4</v>
      </c>
      <c r="M31" t="s">
        <v>27</v>
      </c>
    </row>
    <row r="32" spans="1:13" x14ac:dyDescent="0.3">
      <c r="A32" s="1">
        <v>45179</v>
      </c>
      <c r="B32" t="s">
        <v>12</v>
      </c>
      <c r="C32" s="4">
        <v>2400</v>
      </c>
      <c r="D32" s="4">
        <v>2957.1428571428601</v>
      </c>
      <c r="E32" s="4">
        <v>2857.1428571428573</v>
      </c>
      <c r="F32">
        <v>90</v>
      </c>
      <c r="G32" s="6">
        <v>0.93</v>
      </c>
      <c r="H32" s="6">
        <v>0.74</v>
      </c>
      <c r="I32" s="6">
        <v>0.93</v>
      </c>
      <c r="J32" t="s">
        <v>19</v>
      </c>
      <c r="K32" t="s">
        <v>14</v>
      </c>
      <c r="L32">
        <v>5</v>
      </c>
      <c r="M32" t="s">
        <v>28</v>
      </c>
    </row>
    <row r="33" spans="1:13" x14ac:dyDescent="0.3">
      <c r="A33" s="1">
        <v>45227</v>
      </c>
      <c r="B33" t="s">
        <v>18</v>
      </c>
      <c r="C33" s="4">
        <v>2400</v>
      </c>
      <c r="D33" s="4">
        <v>2957.1428571428601</v>
      </c>
      <c r="E33" s="4">
        <v>2857.1428571428573</v>
      </c>
      <c r="F33">
        <v>90</v>
      </c>
      <c r="G33" s="6">
        <v>0.92</v>
      </c>
      <c r="H33" s="6">
        <v>0.99</v>
      </c>
      <c r="I33" s="6">
        <v>0.88</v>
      </c>
      <c r="J33" t="s">
        <v>13</v>
      </c>
      <c r="K33" t="s">
        <v>20</v>
      </c>
      <c r="L33">
        <v>8</v>
      </c>
      <c r="M33" t="s">
        <v>29</v>
      </c>
    </row>
    <row r="34" spans="1:13" x14ac:dyDescent="0.3">
      <c r="A34" s="1">
        <v>44997</v>
      </c>
      <c r="B34" t="s">
        <v>12</v>
      </c>
      <c r="C34" s="4">
        <v>2250</v>
      </c>
      <c r="D34" s="4">
        <v>2957.1428571428601</v>
      </c>
      <c r="E34" s="4">
        <v>2857.1428571428573</v>
      </c>
      <c r="F34">
        <v>80</v>
      </c>
      <c r="G34" s="6">
        <v>0.73</v>
      </c>
      <c r="H34" s="6">
        <v>0.96</v>
      </c>
      <c r="I34" s="6">
        <v>0.93</v>
      </c>
      <c r="J34" t="s">
        <v>21</v>
      </c>
      <c r="K34" t="s">
        <v>25</v>
      </c>
      <c r="L34">
        <v>4</v>
      </c>
      <c r="M34" t="s">
        <v>30</v>
      </c>
    </row>
    <row r="35" spans="1:13" x14ac:dyDescent="0.3">
      <c r="A35" s="1">
        <v>45275</v>
      </c>
      <c r="B35" t="s">
        <v>12</v>
      </c>
      <c r="C35" s="4">
        <v>2209</v>
      </c>
      <c r="D35" s="4">
        <v>2957.1428571428601</v>
      </c>
      <c r="E35" s="4">
        <v>2857.1428571428573</v>
      </c>
      <c r="F35">
        <v>90</v>
      </c>
      <c r="G35" s="6">
        <v>0.75</v>
      </c>
      <c r="H35" s="6">
        <v>0.77</v>
      </c>
      <c r="I35" s="6">
        <v>0.84</v>
      </c>
      <c r="J35" t="s">
        <v>21</v>
      </c>
      <c r="K35" t="s">
        <v>23</v>
      </c>
      <c r="L35">
        <v>7</v>
      </c>
      <c r="M35" t="s">
        <v>29</v>
      </c>
    </row>
    <row r="36" spans="1:13" x14ac:dyDescent="0.3">
      <c r="A36" s="1">
        <v>45129</v>
      </c>
      <c r="B36" t="s">
        <v>15</v>
      </c>
      <c r="C36" s="4">
        <v>2200</v>
      </c>
      <c r="D36" s="4">
        <v>5214.2857142857101</v>
      </c>
      <c r="E36" s="4">
        <v>6714.2857142857101</v>
      </c>
      <c r="F36">
        <v>100</v>
      </c>
      <c r="G36" s="6">
        <v>0.81</v>
      </c>
      <c r="H36" s="6">
        <v>0.91</v>
      </c>
      <c r="I36" s="6">
        <v>0.95</v>
      </c>
      <c r="J36" t="s">
        <v>21</v>
      </c>
      <c r="K36" t="s">
        <v>25</v>
      </c>
      <c r="L36">
        <v>8</v>
      </c>
      <c r="M36" t="s">
        <v>28</v>
      </c>
    </row>
    <row r="37" spans="1:13" x14ac:dyDescent="0.3">
      <c r="A37" s="1">
        <v>45018</v>
      </c>
      <c r="B37" t="s">
        <v>12</v>
      </c>
      <c r="C37" s="4">
        <v>2200</v>
      </c>
      <c r="D37" s="4">
        <v>5214.2857142857101</v>
      </c>
      <c r="E37" s="4">
        <v>6714.2857142857101</v>
      </c>
      <c r="F37">
        <v>100</v>
      </c>
      <c r="G37" s="6">
        <v>0.97</v>
      </c>
      <c r="H37" s="6">
        <v>0.85</v>
      </c>
      <c r="I37" s="6">
        <v>0.85</v>
      </c>
      <c r="J37" t="s">
        <v>13</v>
      </c>
      <c r="K37" t="s">
        <v>14</v>
      </c>
      <c r="L37">
        <v>4</v>
      </c>
      <c r="M37" t="s">
        <v>30</v>
      </c>
    </row>
    <row r="38" spans="1:13" x14ac:dyDescent="0.3">
      <c r="A38" s="1">
        <v>44979</v>
      </c>
      <c r="B38" t="s">
        <v>12</v>
      </c>
      <c r="C38" s="4">
        <v>2200</v>
      </c>
      <c r="D38" s="4">
        <v>5214.2857142857101</v>
      </c>
      <c r="E38" s="4">
        <v>6714.2857142857101</v>
      </c>
      <c r="F38">
        <v>100</v>
      </c>
      <c r="G38" s="6">
        <v>0.89</v>
      </c>
      <c r="H38" s="6">
        <v>0.94</v>
      </c>
      <c r="I38" s="6">
        <v>0.8</v>
      </c>
      <c r="J38" t="s">
        <v>16</v>
      </c>
      <c r="K38" t="s">
        <v>14</v>
      </c>
      <c r="L38">
        <v>3</v>
      </c>
      <c r="M38" t="s">
        <v>30</v>
      </c>
    </row>
    <row r="39" spans="1:13" x14ac:dyDescent="0.3">
      <c r="A39" s="1">
        <v>45179</v>
      </c>
      <c r="B39" t="s">
        <v>12</v>
      </c>
      <c r="C39" s="4">
        <v>2200</v>
      </c>
      <c r="D39" s="4">
        <v>5214.2857142857101</v>
      </c>
      <c r="E39" s="4">
        <v>6714.2857142857101</v>
      </c>
      <c r="F39">
        <v>100</v>
      </c>
      <c r="G39" s="6">
        <v>0.88</v>
      </c>
      <c r="H39" s="6">
        <v>0.94</v>
      </c>
      <c r="I39" s="6">
        <v>0.7</v>
      </c>
      <c r="J39" t="s">
        <v>19</v>
      </c>
      <c r="K39" t="s">
        <v>20</v>
      </c>
      <c r="L39">
        <v>2</v>
      </c>
      <c r="M39" t="s">
        <v>28</v>
      </c>
    </row>
    <row r="40" spans="1:13" x14ac:dyDescent="0.3">
      <c r="A40" s="1">
        <v>45130</v>
      </c>
      <c r="B40" t="s">
        <v>18</v>
      </c>
      <c r="C40" s="4">
        <v>2150</v>
      </c>
      <c r="D40" s="4">
        <v>5214.2857142857101</v>
      </c>
      <c r="E40" s="4">
        <v>6714.2857142857101</v>
      </c>
      <c r="F40">
        <v>100</v>
      </c>
      <c r="G40" s="6">
        <v>0.89</v>
      </c>
      <c r="H40" s="6">
        <v>0.8</v>
      </c>
      <c r="I40" s="6">
        <v>0.88</v>
      </c>
      <c r="J40" t="s">
        <v>13</v>
      </c>
      <c r="K40" t="s">
        <v>20</v>
      </c>
      <c r="L40">
        <v>5</v>
      </c>
      <c r="M40" t="s">
        <v>28</v>
      </c>
    </row>
    <row r="41" spans="1:13" x14ac:dyDescent="0.3">
      <c r="A41" s="1">
        <v>45127</v>
      </c>
      <c r="B41" t="s">
        <v>12</v>
      </c>
      <c r="C41" s="4">
        <v>2150</v>
      </c>
      <c r="D41" s="4">
        <v>1214.2857142857099</v>
      </c>
      <c r="E41" s="4">
        <v>6714.2857142857101</v>
      </c>
      <c r="F41">
        <v>100</v>
      </c>
      <c r="G41" s="6">
        <v>0.98</v>
      </c>
      <c r="H41" s="6">
        <v>0.99</v>
      </c>
      <c r="I41" s="6">
        <v>0.81</v>
      </c>
      <c r="J41" t="s">
        <v>19</v>
      </c>
      <c r="K41" t="s">
        <v>14</v>
      </c>
      <c r="L41">
        <v>6</v>
      </c>
      <c r="M41" t="s">
        <v>28</v>
      </c>
    </row>
    <row r="42" spans="1:13" x14ac:dyDescent="0.3">
      <c r="A42" s="1">
        <v>45213</v>
      </c>
      <c r="B42" t="s">
        <v>24</v>
      </c>
      <c r="C42" s="4">
        <v>2100</v>
      </c>
      <c r="D42" s="4">
        <v>1328.57142857143</v>
      </c>
      <c r="E42" s="4">
        <v>1428.5714285714287</v>
      </c>
      <c r="F42">
        <v>43</v>
      </c>
      <c r="G42" s="6">
        <v>0.9</v>
      </c>
      <c r="H42" s="6">
        <v>0.72</v>
      </c>
      <c r="I42" s="6">
        <v>0.94</v>
      </c>
      <c r="J42" t="s">
        <v>19</v>
      </c>
      <c r="K42" t="s">
        <v>14</v>
      </c>
      <c r="L42">
        <v>7</v>
      </c>
      <c r="M42" t="s">
        <v>29</v>
      </c>
    </row>
    <row r="43" spans="1:13" x14ac:dyDescent="0.3">
      <c r="A43" s="1">
        <v>45098</v>
      </c>
      <c r="B43" t="s">
        <v>12</v>
      </c>
      <c r="C43" s="4">
        <v>2100</v>
      </c>
      <c r="D43" s="4">
        <v>5214.2857142857101</v>
      </c>
      <c r="E43" s="4">
        <v>6714.2857142857101</v>
      </c>
      <c r="F43">
        <v>100</v>
      </c>
      <c r="G43" s="6">
        <v>0.89</v>
      </c>
      <c r="H43" s="6">
        <v>0.85</v>
      </c>
      <c r="I43" s="6">
        <v>0.87</v>
      </c>
      <c r="J43" t="s">
        <v>21</v>
      </c>
      <c r="K43" t="s">
        <v>17</v>
      </c>
      <c r="L43">
        <v>9</v>
      </c>
      <c r="M43" t="s">
        <v>27</v>
      </c>
    </row>
    <row r="44" spans="1:13" x14ac:dyDescent="0.3">
      <c r="A44" s="1">
        <v>45257</v>
      </c>
      <c r="B44" t="s">
        <v>24</v>
      </c>
      <c r="C44" s="4">
        <v>2019</v>
      </c>
      <c r="D44" s="4">
        <v>1328.57142857143</v>
      </c>
      <c r="E44" s="4">
        <v>1428.5714285714287</v>
      </c>
      <c r="F44">
        <v>40</v>
      </c>
      <c r="G44" s="6">
        <v>0.71</v>
      </c>
      <c r="H44" s="6">
        <v>0.87</v>
      </c>
      <c r="I44" s="6">
        <v>0.94</v>
      </c>
      <c r="J44" t="s">
        <v>16</v>
      </c>
      <c r="K44" t="s">
        <v>25</v>
      </c>
      <c r="L44">
        <v>2</v>
      </c>
      <c r="M44" t="s">
        <v>29</v>
      </c>
    </row>
    <row r="45" spans="1:13" x14ac:dyDescent="0.3">
      <c r="A45" s="1">
        <v>45233</v>
      </c>
      <c r="B45" t="s">
        <v>15</v>
      </c>
      <c r="C45" s="4">
        <v>2000</v>
      </c>
      <c r="D45" s="4">
        <v>1328.57142857143</v>
      </c>
      <c r="E45" s="4">
        <v>4428.5714285714303</v>
      </c>
      <c r="F45">
        <v>15</v>
      </c>
      <c r="G45" s="6">
        <v>0.91</v>
      </c>
      <c r="H45" s="6">
        <v>0.98</v>
      </c>
      <c r="I45" s="6">
        <v>0.89</v>
      </c>
      <c r="J45" t="s">
        <v>19</v>
      </c>
      <c r="K45" t="s">
        <v>23</v>
      </c>
      <c r="L45">
        <v>4</v>
      </c>
      <c r="M45" t="s">
        <v>29</v>
      </c>
    </row>
    <row r="46" spans="1:13" x14ac:dyDescent="0.3">
      <c r="A46" s="1">
        <v>45060</v>
      </c>
      <c r="B46" t="s">
        <v>15</v>
      </c>
      <c r="C46" s="4">
        <v>2000</v>
      </c>
      <c r="D46" s="4">
        <v>1328.57142857143</v>
      </c>
      <c r="E46" s="4">
        <v>4428.5714285714303</v>
      </c>
      <c r="F46">
        <v>40</v>
      </c>
      <c r="G46" s="6">
        <v>0.74</v>
      </c>
      <c r="H46" s="6">
        <v>0.85</v>
      </c>
      <c r="I46" s="6">
        <v>0.7</v>
      </c>
      <c r="J46" t="s">
        <v>19</v>
      </c>
      <c r="K46" t="s">
        <v>14</v>
      </c>
      <c r="L46">
        <v>3</v>
      </c>
      <c r="M46" t="s">
        <v>27</v>
      </c>
    </row>
    <row r="47" spans="1:13" x14ac:dyDescent="0.3">
      <c r="A47" s="1">
        <v>45225</v>
      </c>
      <c r="B47" t="s">
        <v>12</v>
      </c>
      <c r="C47" s="4">
        <v>2000</v>
      </c>
      <c r="D47" s="4">
        <v>1328.57142857143</v>
      </c>
      <c r="E47" s="4">
        <v>4428.5714285714303</v>
      </c>
      <c r="F47">
        <v>100</v>
      </c>
      <c r="G47" s="6">
        <v>0.9</v>
      </c>
      <c r="H47" s="6">
        <v>0.9</v>
      </c>
      <c r="I47" s="6">
        <v>0.72</v>
      </c>
      <c r="J47" t="s">
        <v>19</v>
      </c>
      <c r="K47" t="s">
        <v>17</v>
      </c>
      <c r="L47">
        <v>2</v>
      </c>
      <c r="M47" t="s">
        <v>29</v>
      </c>
    </row>
    <row r="48" spans="1:13" x14ac:dyDescent="0.3">
      <c r="A48" s="1">
        <v>44995</v>
      </c>
      <c r="B48" t="s">
        <v>12</v>
      </c>
      <c r="C48" s="4">
        <v>2000</v>
      </c>
      <c r="D48" s="4">
        <v>1328.57142857143</v>
      </c>
      <c r="E48" s="4">
        <v>4428.5714285714303</v>
      </c>
      <c r="F48">
        <v>15</v>
      </c>
      <c r="G48" s="6">
        <v>0.95</v>
      </c>
      <c r="H48" s="6">
        <v>0.97</v>
      </c>
      <c r="I48" s="6">
        <v>0.81</v>
      </c>
      <c r="J48" t="s">
        <v>19</v>
      </c>
      <c r="K48" t="s">
        <v>20</v>
      </c>
      <c r="L48">
        <v>7</v>
      </c>
      <c r="M48" t="s">
        <v>30</v>
      </c>
    </row>
    <row r="49" spans="1:13" x14ac:dyDescent="0.3">
      <c r="A49" s="1">
        <v>45044</v>
      </c>
      <c r="B49" t="s">
        <v>18</v>
      </c>
      <c r="C49" s="4">
        <v>2000</v>
      </c>
      <c r="D49" s="4">
        <v>1328.57142857143</v>
      </c>
      <c r="E49" s="4">
        <v>4428.5714285714303</v>
      </c>
      <c r="F49">
        <v>20</v>
      </c>
      <c r="G49" s="6">
        <v>0.99</v>
      </c>
      <c r="H49" s="6">
        <v>0.79</v>
      </c>
      <c r="I49" s="6">
        <v>0.75</v>
      </c>
      <c r="J49" t="s">
        <v>19</v>
      </c>
      <c r="K49" t="s">
        <v>23</v>
      </c>
      <c r="L49">
        <v>9</v>
      </c>
      <c r="M49" t="s">
        <v>27</v>
      </c>
    </row>
    <row r="50" spans="1:13" x14ac:dyDescent="0.3">
      <c r="A50" s="1">
        <v>45218</v>
      </c>
      <c r="B50" t="s">
        <v>18</v>
      </c>
      <c r="C50" s="4">
        <v>2000</v>
      </c>
      <c r="D50" s="4">
        <v>1328.57142857143</v>
      </c>
      <c r="E50" s="4">
        <v>1428.57142857143</v>
      </c>
      <c r="F50">
        <v>45</v>
      </c>
      <c r="G50" s="6">
        <v>0.86</v>
      </c>
      <c r="H50" s="6">
        <v>0.97</v>
      </c>
      <c r="I50" s="6">
        <v>0.89</v>
      </c>
      <c r="J50" t="s">
        <v>13</v>
      </c>
      <c r="K50" t="s">
        <v>25</v>
      </c>
      <c r="L50">
        <v>5</v>
      </c>
      <c r="M50" t="s">
        <v>29</v>
      </c>
    </row>
    <row r="51" spans="1:13" x14ac:dyDescent="0.3">
      <c r="A51" s="1">
        <v>45160</v>
      </c>
      <c r="B51" t="s">
        <v>12</v>
      </c>
      <c r="C51" s="4">
        <v>2000</v>
      </c>
      <c r="D51" s="4">
        <v>1328.57142857143</v>
      </c>
      <c r="E51" s="4">
        <v>1428.57142857143</v>
      </c>
      <c r="F51">
        <v>43</v>
      </c>
      <c r="G51" s="6">
        <v>0.83</v>
      </c>
      <c r="H51" s="6">
        <v>0.72</v>
      </c>
      <c r="I51" s="6">
        <v>0.74</v>
      </c>
      <c r="J51" t="s">
        <v>16</v>
      </c>
      <c r="K51" t="s">
        <v>14</v>
      </c>
      <c r="L51">
        <v>6</v>
      </c>
      <c r="M51" t="s">
        <v>28</v>
      </c>
    </row>
    <row r="52" spans="1:13" x14ac:dyDescent="0.3">
      <c r="A52" s="1">
        <v>45147</v>
      </c>
      <c r="B52" t="s">
        <v>15</v>
      </c>
      <c r="C52" s="4">
        <v>2000</v>
      </c>
      <c r="D52" s="4">
        <v>1328.57142857143</v>
      </c>
      <c r="E52" s="4">
        <v>1428.57142857143</v>
      </c>
      <c r="F52">
        <v>43</v>
      </c>
      <c r="G52" s="6">
        <v>0.74</v>
      </c>
      <c r="H52" s="6">
        <v>0.78</v>
      </c>
      <c r="I52" s="6">
        <v>0.94</v>
      </c>
      <c r="J52" t="s">
        <v>19</v>
      </c>
      <c r="K52" t="s">
        <v>17</v>
      </c>
      <c r="L52">
        <v>8</v>
      </c>
      <c r="M52" t="s">
        <v>28</v>
      </c>
    </row>
    <row r="53" spans="1:13" x14ac:dyDescent="0.3">
      <c r="A53" s="1">
        <v>45078</v>
      </c>
      <c r="B53" t="s">
        <v>24</v>
      </c>
      <c r="C53" s="4">
        <v>2000</v>
      </c>
      <c r="D53" s="4">
        <v>1328.57142857143</v>
      </c>
      <c r="E53" s="4">
        <v>1428.57142857143</v>
      </c>
      <c r="F53">
        <v>43</v>
      </c>
      <c r="G53" s="6">
        <v>0.8</v>
      </c>
      <c r="H53" s="6">
        <v>0.84</v>
      </c>
      <c r="I53" s="6">
        <v>0.81</v>
      </c>
      <c r="J53" t="s">
        <v>21</v>
      </c>
      <c r="K53" t="s">
        <v>17</v>
      </c>
      <c r="L53">
        <v>4</v>
      </c>
      <c r="M53" t="s">
        <v>27</v>
      </c>
    </row>
    <row r="54" spans="1:13" x14ac:dyDescent="0.3">
      <c r="A54" s="1">
        <v>44986</v>
      </c>
      <c r="B54" t="s">
        <v>24</v>
      </c>
      <c r="C54" s="4">
        <v>2000</v>
      </c>
      <c r="D54" s="4">
        <v>1328.57142857143</v>
      </c>
      <c r="E54" s="4">
        <v>1428.5714285714287</v>
      </c>
      <c r="F54">
        <v>43</v>
      </c>
      <c r="G54" s="6">
        <v>0.89</v>
      </c>
      <c r="H54" s="6">
        <v>0.99</v>
      </c>
      <c r="I54" s="6">
        <v>0.97</v>
      </c>
      <c r="J54" t="s">
        <v>13</v>
      </c>
      <c r="K54" t="s">
        <v>14</v>
      </c>
      <c r="L54">
        <v>3</v>
      </c>
      <c r="M54" t="s">
        <v>30</v>
      </c>
    </row>
    <row r="55" spans="1:13" x14ac:dyDescent="0.3">
      <c r="A55" s="1">
        <v>45231</v>
      </c>
      <c r="B55" t="s">
        <v>24</v>
      </c>
      <c r="C55" s="4">
        <v>1800</v>
      </c>
      <c r="D55" s="4">
        <v>1328.57142857143</v>
      </c>
      <c r="E55" s="4">
        <v>4428.5714285714303</v>
      </c>
      <c r="F55">
        <v>90</v>
      </c>
      <c r="G55" s="6">
        <v>0.92</v>
      </c>
      <c r="H55" s="6">
        <v>0.99</v>
      </c>
      <c r="I55" s="6">
        <v>0.74</v>
      </c>
      <c r="J55" t="s">
        <v>19</v>
      </c>
      <c r="K55" t="s">
        <v>17</v>
      </c>
      <c r="L55">
        <v>6</v>
      </c>
      <c r="M55" t="s">
        <v>29</v>
      </c>
    </row>
    <row r="56" spans="1:13" x14ac:dyDescent="0.3">
      <c r="A56" s="1">
        <v>45232</v>
      </c>
      <c r="B56" t="s">
        <v>24</v>
      </c>
      <c r="C56" s="4">
        <v>1800</v>
      </c>
      <c r="D56" s="4">
        <v>1328.57142857143</v>
      </c>
      <c r="E56" s="4">
        <v>4428.5714285714303</v>
      </c>
      <c r="F56">
        <v>30</v>
      </c>
      <c r="G56" s="6">
        <v>0.7</v>
      </c>
      <c r="H56" s="6">
        <v>0.99</v>
      </c>
      <c r="I56" s="6">
        <v>0.95</v>
      </c>
      <c r="J56" t="s">
        <v>19</v>
      </c>
      <c r="K56" t="s">
        <v>23</v>
      </c>
      <c r="L56">
        <v>8</v>
      </c>
      <c r="M56" t="s">
        <v>29</v>
      </c>
    </row>
    <row r="57" spans="1:13" x14ac:dyDescent="0.3">
      <c r="A57" s="1">
        <v>45230</v>
      </c>
      <c r="B57" t="s">
        <v>24</v>
      </c>
      <c r="C57" s="4">
        <v>1700</v>
      </c>
      <c r="D57" s="4">
        <v>2957.1428571428601</v>
      </c>
      <c r="E57" s="4">
        <v>5857</v>
      </c>
      <c r="F57">
        <v>20</v>
      </c>
      <c r="G57" s="6">
        <v>0.75</v>
      </c>
      <c r="H57" s="6">
        <v>0.72</v>
      </c>
      <c r="I57" s="6">
        <v>0.93</v>
      </c>
      <c r="J57" t="s">
        <v>22</v>
      </c>
      <c r="K57" t="s">
        <v>17</v>
      </c>
      <c r="L57">
        <v>5</v>
      </c>
      <c r="M57" t="s">
        <v>29</v>
      </c>
    </row>
    <row r="58" spans="1:13" x14ac:dyDescent="0.3">
      <c r="A58" s="1">
        <v>45229</v>
      </c>
      <c r="B58" t="s">
        <v>15</v>
      </c>
      <c r="C58" s="4">
        <v>1600</v>
      </c>
      <c r="D58" s="4">
        <v>2957.1428571428601</v>
      </c>
      <c r="E58" s="4">
        <v>5857</v>
      </c>
      <c r="F58">
        <v>15</v>
      </c>
      <c r="G58" s="6">
        <v>0.79</v>
      </c>
      <c r="H58" s="6">
        <v>0.79</v>
      </c>
      <c r="I58" s="6">
        <v>0.77</v>
      </c>
      <c r="J58" t="s">
        <v>22</v>
      </c>
      <c r="K58" t="s">
        <v>14</v>
      </c>
      <c r="L58">
        <v>9</v>
      </c>
      <c r="M58" t="s">
        <v>29</v>
      </c>
    </row>
    <row r="59" spans="1:13" x14ac:dyDescent="0.3">
      <c r="A59" s="1">
        <v>45228</v>
      </c>
      <c r="B59" t="s">
        <v>15</v>
      </c>
      <c r="C59" s="4">
        <v>1431</v>
      </c>
      <c r="D59" s="4">
        <v>2958</v>
      </c>
      <c r="E59" s="4">
        <v>5857</v>
      </c>
      <c r="F59">
        <v>100</v>
      </c>
      <c r="G59" s="6">
        <v>0.96</v>
      </c>
      <c r="H59" s="6">
        <v>0.79</v>
      </c>
      <c r="I59" s="6">
        <v>0.7</v>
      </c>
      <c r="J59" t="s">
        <v>22</v>
      </c>
      <c r="K59" t="s">
        <v>23</v>
      </c>
      <c r="L59">
        <v>7</v>
      </c>
      <c r="M59" t="s">
        <v>29</v>
      </c>
    </row>
    <row r="60" spans="1:13" x14ac:dyDescent="0.3">
      <c r="A60" s="1">
        <v>44985</v>
      </c>
      <c r="B60" t="s">
        <v>18</v>
      </c>
      <c r="C60" s="4">
        <v>1414</v>
      </c>
      <c r="D60" s="4">
        <v>2957.1428571428601</v>
      </c>
      <c r="E60" s="4">
        <v>5857</v>
      </c>
      <c r="F60">
        <v>40</v>
      </c>
      <c r="G60" s="6">
        <v>0.79</v>
      </c>
      <c r="H60" s="6">
        <v>0.79</v>
      </c>
      <c r="I60" s="6">
        <v>0.79</v>
      </c>
      <c r="J60" t="s">
        <v>21</v>
      </c>
      <c r="K60" t="s">
        <v>14</v>
      </c>
      <c r="L60">
        <v>2</v>
      </c>
      <c r="M60" t="s">
        <v>30</v>
      </c>
    </row>
    <row r="61" spans="1:13" x14ac:dyDescent="0.3">
      <c r="A61" s="1">
        <v>44984</v>
      </c>
      <c r="B61" t="s">
        <v>18</v>
      </c>
      <c r="C61" s="4">
        <v>1200</v>
      </c>
      <c r="D61" s="4">
        <v>2957.1428571428601</v>
      </c>
      <c r="E61" s="4">
        <v>5857</v>
      </c>
      <c r="F61">
        <v>15</v>
      </c>
      <c r="G61" s="6">
        <v>0.82</v>
      </c>
      <c r="H61" s="6">
        <v>0.8</v>
      </c>
      <c r="I61" s="6">
        <v>0.76</v>
      </c>
      <c r="J61" t="s">
        <v>19</v>
      </c>
      <c r="K61" t="s">
        <v>20</v>
      </c>
      <c r="L61">
        <v>3</v>
      </c>
      <c r="M61" t="s">
        <v>30</v>
      </c>
    </row>
    <row r="62" spans="1:13" x14ac:dyDescent="0.3">
      <c r="A62" s="1">
        <v>45060</v>
      </c>
      <c r="B62" t="s">
        <v>12</v>
      </c>
      <c r="C62" s="4">
        <v>1000</v>
      </c>
      <c r="D62" s="4">
        <v>2957.1428571428601</v>
      </c>
      <c r="E62" s="4">
        <v>5857</v>
      </c>
      <c r="F62">
        <v>80</v>
      </c>
      <c r="G62" s="6">
        <v>0.89</v>
      </c>
      <c r="H62" s="6">
        <v>0.85</v>
      </c>
      <c r="I62" s="6">
        <v>0.72</v>
      </c>
      <c r="J62" t="s">
        <v>13</v>
      </c>
      <c r="K62" t="s">
        <v>14</v>
      </c>
      <c r="L62">
        <v>8</v>
      </c>
      <c r="M62" t="s">
        <v>27</v>
      </c>
    </row>
    <row r="63" spans="1:13" x14ac:dyDescent="0.3">
      <c r="A63" s="1">
        <v>44983</v>
      </c>
      <c r="B63" t="s">
        <v>15</v>
      </c>
      <c r="C63" s="4">
        <v>1000</v>
      </c>
      <c r="D63" s="4">
        <v>2957.1428571428601</v>
      </c>
      <c r="E63" s="4">
        <v>5857</v>
      </c>
      <c r="F63">
        <v>30</v>
      </c>
      <c r="G63" s="6">
        <v>0.94</v>
      </c>
      <c r="H63" s="6">
        <v>0.95</v>
      </c>
      <c r="I63" s="6">
        <v>0.86</v>
      </c>
      <c r="J63" t="s">
        <v>16</v>
      </c>
      <c r="K63" t="s">
        <v>17</v>
      </c>
      <c r="L63">
        <v>4</v>
      </c>
      <c r="M63" t="s">
        <v>30</v>
      </c>
    </row>
  </sheetData>
  <sortState xmlns:xlrd2="http://schemas.microsoft.com/office/spreadsheetml/2017/richdata2" ref="A2:M64">
    <sortCondition descending="1" ref="C1:C6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1637E-B3A5-4197-9A51-EB23E7DF37E4}">
  <dimension ref="A2:K25"/>
  <sheetViews>
    <sheetView workbookViewId="0">
      <selection activeCell="C2" sqref="C2"/>
    </sheetView>
  </sheetViews>
  <sheetFormatPr defaultRowHeight="14.4" x14ac:dyDescent="0.3"/>
  <cols>
    <col min="1" max="1" width="12.44140625" bestFit="1" customWidth="1"/>
    <col min="2" max="3" width="11.5546875" bestFit="1" customWidth="1"/>
    <col min="5" max="5" width="17.21875" bestFit="1" customWidth="1"/>
    <col min="6" max="6" width="15" bestFit="1" customWidth="1"/>
    <col min="7" max="7" width="11.88671875" customWidth="1"/>
    <col min="8" max="8" width="12.44140625" bestFit="1" customWidth="1"/>
    <col min="9" max="9" width="27" bestFit="1" customWidth="1"/>
    <col min="11" max="11" width="32.6640625" bestFit="1" customWidth="1"/>
    <col min="12" max="12" width="11.5546875" bestFit="1" customWidth="1"/>
  </cols>
  <sheetData>
    <row r="2" spans="1:11" x14ac:dyDescent="0.3">
      <c r="A2" s="8" t="s">
        <v>32</v>
      </c>
      <c r="B2" t="s">
        <v>54</v>
      </c>
      <c r="C2" t="s">
        <v>55</v>
      </c>
      <c r="E2" s="8" t="s">
        <v>32</v>
      </c>
      <c r="F2" t="s">
        <v>53</v>
      </c>
      <c r="H2" s="8" t="s">
        <v>32</v>
      </c>
      <c r="I2" t="s">
        <v>31</v>
      </c>
      <c r="K2" t="s">
        <v>50</v>
      </c>
    </row>
    <row r="3" spans="1:11" x14ac:dyDescent="0.3">
      <c r="A3" s="9" t="s">
        <v>34</v>
      </c>
      <c r="B3" s="7">
        <v>13944</v>
      </c>
      <c r="C3" s="7">
        <v>3142.8571428571427</v>
      </c>
      <c r="E3" s="9" t="s">
        <v>34</v>
      </c>
      <c r="F3" s="24">
        <v>1325</v>
      </c>
      <c r="H3" s="9" t="s">
        <v>13</v>
      </c>
      <c r="I3" s="7">
        <v>28144</v>
      </c>
      <c r="K3" s="13">
        <v>0.85564516129032253</v>
      </c>
    </row>
    <row r="4" spans="1:11" x14ac:dyDescent="0.3">
      <c r="A4" s="9" t="s">
        <v>35</v>
      </c>
      <c r="B4" s="7">
        <v>5814</v>
      </c>
      <c r="C4" s="7">
        <v>24285.28571428571</v>
      </c>
      <c r="E4" s="9" t="s">
        <v>35</v>
      </c>
      <c r="F4" s="24">
        <v>185</v>
      </c>
      <c r="H4" s="9" t="s">
        <v>19</v>
      </c>
      <c r="I4" s="7">
        <v>61231</v>
      </c>
      <c r="K4" s="6">
        <f>GETPIVOTDATA("Sales Completion Rate",$K$2)</f>
        <v>0.85564516129032253</v>
      </c>
    </row>
    <row r="5" spans="1:11" x14ac:dyDescent="0.3">
      <c r="A5" s="9" t="s">
        <v>36</v>
      </c>
      <c r="B5" s="7">
        <v>14750</v>
      </c>
      <c r="C5" s="7">
        <v>9714.2857142857174</v>
      </c>
      <c r="E5" s="9" t="s">
        <v>36</v>
      </c>
      <c r="F5" s="24">
        <v>688</v>
      </c>
      <c r="H5" s="9" t="s">
        <v>16</v>
      </c>
      <c r="I5" s="7">
        <v>23109</v>
      </c>
      <c r="K5" t="s">
        <v>51</v>
      </c>
    </row>
    <row r="6" spans="1:11" x14ac:dyDescent="0.3">
      <c r="A6" s="9" t="s">
        <v>37</v>
      </c>
      <c r="B6" s="7">
        <v>12493</v>
      </c>
      <c r="C6" s="7">
        <v>13571.428571428569</v>
      </c>
      <c r="E6" s="9" t="s">
        <v>37</v>
      </c>
      <c r="F6" s="24">
        <v>810</v>
      </c>
      <c r="H6" s="9" t="s">
        <v>21</v>
      </c>
      <c r="I6" s="7">
        <v>31446</v>
      </c>
      <c r="K6" s="13">
        <v>0.85741935483870946</v>
      </c>
    </row>
    <row r="7" spans="1:11" x14ac:dyDescent="0.3">
      <c r="A7" s="9" t="s">
        <v>38</v>
      </c>
      <c r="B7" s="7">
        <v>11000</v>
      </c>
      <c r="C7" s="7">
        <v>12571.285714285716</v>
      </c>
      <c r="E7" s="9" t="s">
        <v>38</v>
      </c>
      <c r="F7" s="24">
        <v>850</v>
      </c>
      <c r="H7" s="9" t="s">
        <v>22</v>
      </c>
      <c r="I7" s="7">
        <v>12231</v>
      </c>
      <c r="K7" s="15">
        <f>GETPIVOTDATA("Profit Completion Rate",$K$5)</f>
        <v>0.85741935483870946</v>
      </c>
    </row>
    <row r="8" spans="1:11" x14ac:dyDescent="0.3">
      <c r="A8" s="9" t="s">
        <v>39</v>
      </c>
      <c r="B8" s="7">
        <v>15990</v>
      </c>
      <c r="C8" s="7">
        <v>12999.999999999996</v>
      </c>
      <c r="E8" s="9" t="s">
        <v>39</v>
      </c>
      <c r="F8" s="24">
        <v>991</v>
      </c>
      <c r="H8" s="9" t="s">
        <v>33</v>
      </c>
      <c r="I8" s="7">
        <v>156161</v>
      </c>
    </row>
    <row r="9" spans="1:11" x14ac:dyDescent="0.3">
      <c r="A9" s="9" t="s">
        <v>40</v>
      </c>
      <c r="B9" s="7">
        <v>6500</v>
      </c>
      <c r="C9" s="7">
        <v>20142.85714285713</v>
      </c>
      <c r="E9" s="9" t="s">
        <v>40</v>
      </c>
      <c r="F9" s="24">
        <v>300</v>
      </c>
      <c r="K9" t="s">
        <v>52</v>
      </c>
    </row>
    <row r="10" spans="1:11" x14ac:dyDescent="0.3">
      <c r="A10" s="9" t="s">
        <v>41</v>
      </c>
      <c r="B10" s="7">
        <v>12000</v>
      </c>
      <c r="C10" s="7">
        <v>3428.5714285714312</v>
      </c>
      <c r="E10" s="9" t="s">
        <v>41</v>
      </c>
      <c r="F10" s="24">
        <v>646</v>
      </c>
      <c r="H10" s="8" t="s">
        <v>32</v>
      </c>
      <c r="I10" t="s">
        <v>47</v>
      </c>
      <c r="K10" s="13">
        <v>0.84241935483870989</v>
      </c>
    </row>
    <row r="11" spans="1:11" x14ac:dyDescent="0.3">
      <c r="A11" s="9" t="s">
        <v>42</v>
      </c>
      <c r="B11" s="7">
        <v>4600</v>
      </c>
      <c r="C11" s="7">
        <v>9571.428571428567</v>
      </c>
      <c r="E11" s="9" t="s">
        <v>42</v>
      </c>
      <c r="F11" s="24">
        <v>190</v>
      </c>
      <c r="H11" s="9" t="s">
        <v>14</v>
      </c>
      <c r="I11" s="24">
        <v>18</v>
      </c>
      <c r="K11" s="15">
        <f>GETPIVOTDATA("Customer Completion Rate",$K$9)</f>
        <v>0.84241935483870989</v>
      </c>
    </row>
    <row r="12" spans="1:11" x14ac:dyDescent="0.3">
      <c r="A12" s="9" t="s">
        <v>43</v>
      </c>
      <c r="B12" s="7">
        <v>27731</v>
      </c>
      <c r="C12" s="7">
        <v>30142.428571428572</v>
      </c>
      <c r="E12" s="9" t="s">
        <v>43</v>
      </c>
      <c r="F12" s="24">
        <v>1450</v>
      </c>
      <c r="H12" s="9" t="s">
        <v>17</v>
      </c>
      <c r="I12" s="24">
        <v>12</v>
      </c>
    </row>
    <row r="13" spans="1:11" x14ac:dyDescent="0.3">
      <c r="A13" s="9" t="s">
        <v>44</v>
      </c>
      <c r="B13" s="7">
        <v>26630</v>
      </c>
      <c r="C13" s="7">
        <v>20857.142857142862</v>
      </c>
      <c r="E13" s="9" t="s">
        <v>44</v>
      </c>
      <c r="F13" s="24">
        <v>1497</v>
      </c>
      <c r="H13" s="9" t="s">
        <v>20</v>
      </c>
      <c r="I13" s="24">
        <v>11</v>
      </c>
    </row>
    <row r="14" spans="1:11" x14ac:dyDescent="0.3">
      <c r="A14" s="9" t="s">
        <v>45</v>
      </c>
      <c r="B14" s="7">
        <v>4709</v>
      </c>
      <c r="C14" s="7">
        <v>3714.2857142857147</v>
      </c>
      <c r="E14" s="9" t="s">
        <v>45</v>
      </c>
      <c r="F14" s="24">
        <v>318</v>
      </c>
      <c r="H14" s="9" t="s">
        <v>23</v>
      </c>
      <c r="I14" s="24">
        <v>11</v>
      </c>
    </row>
    <row r="15" spans="1:11" x14ac:dyDescent="0.3">
      <c r="A15" s="9" t="s">
        <v>33</v>
      </c>
      <c r="B15" s="7">
        <v>156161</v>
      </c>
      <c r="C15" s="7">
        <v>164141.85714285713</v>
      </c>
      <c r="E15" s="9" t="s">
        <v>33</v>
      </c>
      <c r="F15" s="24">
        <v>9250</v>
      </c>
      <c r="H15" s="9" t="s">
        <v>25</v>
      </c>
      <c r="I15" s="24">
        <v>10</v>
      </c>
    </row>
    <row r="16" spans="1:11" x14ac:dyDescent="0.3">
      <c r="H16" s="9" t="s">
        <v>33</v>
      </c>
      <c r="I16" s="24">
        <v>62</v>
      </c>
    </row>
    <row r="18" spans="1:6" x14ac:dyDescent="0.3">
      <c r="A18" s="8" t="s">
        <v>32</v>
      </c>
      <c r="B18" t="s">
        <v>31</v>
      </c>
      <c r="C18" t="s">
        <v>48</v>
      </c>
      <c r="E18" t="s">
        <v>49</v>
      </c>
    </row>
    <row r="19" spans="1:6" x14ac:dyDescent="0.3">
      <c r="A19" s="9" t="s">
        <v>18</v>
      </c>
      <c r="B19" s="7">
        <v>50241</v>
      </c>
      <c r="C19" s="7">
        <v>29742.857142857156</v>
      </c>
      <c r="E19" s="7">
        <v>156161</v>
      </c>
      <c r="F19">
        <f>GETPIVOTDATA("Sales",$E$18)</f>
        <v>156161</v>
      </c>
    </row>
    <row r="20" spans="1:6" x14ac:dyDescent="0.3">
      <c r="A20" s="9" t="s">
        <v>12</v>
      </c>
      <c r="B20" s="7">
        <v>45770</v>
      </c>
      <c r="C20" s="7">
        <v>45042.85714285713</v>
      </c>
    </row>
    <row r="21" spans="1:6" x14ac:dyDescent="0.3">
      <c r="A21" s="9" t="s">
        <v>15</v>
      </c>
      <c r="B21" s="7">
        <v>31731</v>
      </c>
      <c r="C21" s="7">
        <v>22343.714285714286</v>
      </c>
      <c r="E21" t="s">
        <v>48</v>
      </c>
    </row>
    <row r="22" spans="1:6" x14ac:dyDescent="0.3">
      <c r="A22" s="9" t="s">
        <v>24</v>
      </c>
      <c r="B22" s="7">
        <v>28419</v>
      </c>
      <c r="C22" s="7">
        <v>13214.285714285726</v>
      </c>
      <c r="E22" s="7">
        <v>110343.71428571433</v>
      </c>
      <c r="F22" s="10">
        <f>GETPIVOTDATA("Profit",$E$21)</f>
        <v>110343.71428571433</v>
      </c>
    </row>
    <row r="23" spans="1:6" x14ac:dyDescent="0.3">
      <c r="A23" s="9" t="s">
        <v>33</v>
      </c>
      <c r="B23" s="7">
        <v>156161</v>
      </c>
      <c r="C23" s="7">
        <v>110343.7142857143</v>
      </c>
    </row>
    <row r="24" spans="1:6" x14ac:dyDescent="0.3">
      <c r="E24" t="s">
        <v>46</v>
      </c>
    </row>
    <row r="25" spans="1:6" x14ac:dyDescent="0.3">
      <c r="B25" s="10"/>
      <c r="C25" s="10"/>
      <c r="E25" s="7">
        <v>164141.85714285722</v>
      </c>
      <c r="F25" s="10">
        <f>GETPIVOTDATA("Target Sales",$E$24)</f>
        <v>164141.85714285722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1F91-328D-4E1E-95FE-56F2B0B72A3D}">
  <dimension ref="B3:U10"/>
  <sheetViews>
    <sheetView showGridLines="0" showRowColHeaders="0" zoomScaleNormal="100" workbookViewId="0">
      <selection activeCell="G12" sqref="G12"/>
    </sheetView>
  </sheetViews>
  <sheetFormatPr defaultRowHeight="14.4" x14ac:dyDescent="0.3"/>
  <cols>
    <col min="1" max="1" width="8.88671875" style="11"/>
    <col min="2" max="2" width="11.21875" style="11" bestFit="1" customWidth="1"/>
    <col min="3" max="5" width="8.88671875" style="11"/>
    <col min="6" max="6" width="11.21875" style="11" bestFit="1" customWidth="1"/>
    <col min="7" max="8" width="8.88671875" style="11"/>
    <col min="9" max="9" width="11.21875" style="11" bestFit="1" customWidth="1"/>
    <col min="10" max="10" width="8.88671875" style="11"/>
    <col min="11" max="11" width="9.6640625" style="11" bestFit="1" customWidth="1"/>
    <col min="12" max="12" width="11.21875" style="11" bestFit="1" customWidth="1"/>
    <col min="13" max="15" width="8.88671875" style="11"/>
    <col min="16" max="16" width="9.6640625" style="11" bestFit="1" customWidth="1"/>
    <col min="17" max="20" width="8.88671875" style="11"/>
    <col min="21" max="21" width="9.6640625" style="11" bestFit="1" customWidth="1"/>
    <col min="22" max="16384" width="8.88671875" style="11"/>
  </cols>
  <sheetData>
    <row r="3" spans="2:21" x14ac:dyDescent="0.3">
      <c r="U3" s="21"/>
    </row>
    <row r="4" spans="2:21" x14ac:dyDescent="0.3">
      <c r="U4" s="21"/>
    </row>
    <row r="5" spans="2:21" ht="23.4" x14ac:dyDescent="0.45">
      <c r="B5" s="14"/>
      <c r="C5" s="14"/>
      <c r="E5" s="19"/>
      <c r="F5" s="19"/>
      <c r="I5" s="12"/>
      <c r="L5" s="20"/>
      <c r="M5" s="20"/>
      <c r="U5" s="17"/>
    </row>
    <row r="6" spans="2:21" ht="14.4" customHeight="1" x14ac:dyDescent="0.3">
      <c r="U6" s="22">
        <f>'Pivot Tables'!K7</f>
        <v>0.85741935483870946</v>
      </c>
    </row>
    <row r="7" spans="2:21" ht="14.4" customHeight="1" x14ac:dyDescent="0.3">
      <c r="U7" s="22"/>
    </row>
    <row r="8" spans="2:21" ht="14.4" customHeight="1" x14ac:dyDescent="0.3">
      <c r="B8" s="23">
        <f>'Pivot Tables'!F19</f>
        <v>156161</v>
      </c>
      <c r="C8" s="23"/>
      <c r="E8" s="23">
        <f>'Pivot Tables'!F22</f>
        <v>110343.71428571433</v>
      </c>
      <c r="F8" s="23"/>
      <c r="H8" s="23">
        <f>'Pivot Tables'!F25</f>
        <v>164141.85714285722</v>
      </c>
      <c r="I8" s="23"/>
      <c r="K8" s="22">
        <f>'Pivot Tables'!K4</f>
        <v>0.85564516129032253</v>
      </c>
      <c r="L8" s="22"/>
      <c r="M8" s="22"/>
      <c r="U8" s="17"/>
    </row>
    <row r="9" spans="2:21" ht="14.4" customHeight="1" x14ac:dyDescent="0.3">
      <c r="B9" s="23"/>
      <c r="C9" s="23"/>
      <c r="E9" s="23"/>
      <c r="F9" s="23"/>
      <c r="H9" s="23"/>
      <c r="I9" s="23"/>
      <c r="K9" s="22"/>
      <c r="L9" s="22"/>
      <c r="M9" s="22"/>
      <c r="U9" s="18">
        <f>'Pivot Tables'!K11</f>
        <v>0.84241935483870989</v>
      </c>
    </row>
    <row r="10" spans="2:21" ht="14.4" customHeight="1" x14ac:dyDescent="0.3">
      <c r="H10" s="16"/>
      <c r="K10" s="16"/>
      <c r="U10" s="17"/>
    </row>
  </sheetData>
  <mergeCells count="8">
    <mergeCell ref="B8:C9"/>
    <mergeCell ref="E8:F9"/>
    <mergeCell ref="E5:F5"/>
    <mergeCell ref="L5:M5"/>
    <mergeCell ref="U3:U4"/>
    <mergeCell ref="U6:U7"/>
    <mergeCell ref="H8:I9"/>
    <mergeCell ref="K8:M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gursewak singh</cp:lastModifiedBy>
  <dcterms:created xsi:type="dcterms:W3CDTF">2025-01-31T08:22:50Z</dcterms:created>
  <dcterms:modified xsi:type="dcterms:W3CDTF">2026-04-09T12:08:19Z</dcterms:modified>
</cp:coreProperties>
</file>